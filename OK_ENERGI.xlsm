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OK-Energi\"/>
    </mc:Choice>
  </mc:AlternateContent>
  <xr:revisionPtr revIDLastSave="0" documentId="13_ncr:1_{1D7AA808-0946-4193-8F39-5C0E5ADF63A6}" xr6:coauthVersionLast="47" xr6:coauthVersionMax="47" xr10:uidLastSave="{00000000-0000-0000-0000-000000000000}"/>
  <bookViews>
    <workbookView xWindow="-34245" yWindow="1320" windowWidth="28800" windowHeight="15345" activeTab="1" xr2:uid="{5EE5165D-7E0A-48FD-8E5F-4CC3F06737AC}"/>
  </bookViews>
  <sheets>
    <sheet name="README" sheetId="7" r:id="rId1"/>
    <sheet name="PressureDrop" sheetId="5" r:id="rId2"/>
    <sheet name="xlwings.conf" sheetId="2" r:id="rId3"/>
  </sheets>
  <functionGroups builtInGroupCount="19"/>
  <externalReferences>
    <externalReference r:id="rId4"/>
    <externalReference r:id="rId5"/>
  </externalReferences>
  <definedNames>
    <definedName name="_Order1" hidden="1">255</definedName>
    <definedName name="_Order2" hidden="1">255</definedName>
    <definedName name="_xleta.CHOOSE" hidden="1" xlm="1">#NAME?</definedName>
    <definedName name="API_REF">[1]MANUAL!$B$81</definedName>
    <definedName name="ASME_CERT">[1]PSV_SUMMARY!$G$44</definedName>
    <definedName name="BALL_D1">PressureDrop!$G$30</definedName>
    <definedName name="BALL_NO">PressureDrop!$E$30</definedName>
    <definedName name="BEND_45_NO">PressureDrop!$E$27</definedName>
    <definedName name="BEND_45_RD">PressureDrop!$G$27</definedName>
    <definedName name="BEND_90_NO">PressureDrop!$E$26</definedName>
    <definedName name="BEND_90_RD">PressureDrop!$G$26</definedName>
    <definedName name="BLOWDOWN">#REF!</definedName>
    <definedName name="BUTTERFLY_D1">PressureDrop!$G$33</definedName>
    <definedName name="BUTTERFLY_NO">PressureDrop!$E$33</definedName>
    <definedName name="CEIL_VENT_AREA">#REF!</definedName>
    <definedName name="CEIL_VENT_HEIGHT">#REF!</definedName>
    <definedName name="CHECK_D1">PressureDrop!$G$32</definedName>
    <definedName name="CHECK_NO">PressureDrop!$E$32</definedName>
    <definedName name="COMPANY">[1]FRONTPAGE!#REF!</definedName>
    <definedName name="CONTOUR">#REF!</definedName>
    <definedName name="DIST_REL_TO_WALL">#REF!</definedName>
    <definedName name="DURATION">#REF!</definedName>
    <definedName name="ENCLOSURE_HEIGHT">#REF!</definedName>
    <definedName name="ENTRANCE_NO">PressureDrop!$E$25</definedName>
    <definedName name="EQUIPMENT">[1]FRONTPAGE!$A$7</definedName>
    <definedName name="EXIT_NO">PressureDrop!$E$28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#REF!</definedName>
    <definedName name="FLOOR_CEIL_AREA">#REF!</definedName>
    <definedName name="FLOOR_VENT_AREA">#REF!</definedName>
    <definedName name="FLOOR_VENT_HEIGHT">#REF!</definedName>
    <definedName name="FRICTION_FACTOR">PressureDrop!$E$42</definedName>
    <definedName name="GAS_ALLOWANCE" localSheetId="2">[1]PSV_GAS!$F$24</definedName>
    <definedName name="GAS_API_MET" localSheetId="2">[1]PSV_GAS!$E$15</definedName>
    <definedName name="GAS_AREA" localSheetId="2">[1]PSV_GAS!$F$43</definedName>
    <definedName name="GAS_BACK_P" localSheetId="2">[1]PSV_GAS!$F$26</definedName>
    <definedName name="GAS_COMP" localSheetId="2">[1]PSV_GAS!#REF!</definedName>
    <definedName name="GAS_DP_LEAD" localSheetId="2">[1]PSV_GAS!$J$26</definedName>
    <definedName name="GAS_F_TYPE" localSheetId="2">[1]PSV_GAS!$F$54</definedName>
    <definedName name="GAS_FLOW" localSheetId="2">[1]PSV_GAS!#REF!</definedName>
    <definedName name="GAS_FLOW_REGIME" localSheetId="2">[1]PSV_GAS!$F$42</definedName>
    <definedName name="GAS_IN_OLD" localSheetId="2">[1]PSV_GAS!#REF!</definedName>
    <definedName name="GAS_INSTALL_AREA" localSheetId="2">[1]PSV_GAS!$I$48</definedName>
    <definedName name="GAS_INSTALL_RATED" localSheetId="2">[1]PSV_GAS!$I$50</definedName>
    <definedName name="GAS_K" localSheetId="2">[1]PSV_GAS!$F$32</definedName>
    <definedName name="GAS_K_N" localSheetId="2">[1]PSV_GAS!$F$38</definedName>
    <definedName name="GAS_K_SH" localSheetId="2">[1]PSV_GAS!$F$39</definedName>
    <definedName name="GAS_KB" localSheetId="2">[1]PSV_GAS!$F$36</definedName>
    <definedName name="GAS_KC" localSheetId="2">[1]PSV_GAS!$F$37</definedName>
    <definedName name="GAS_KD" localSheetId="2">[1]PSV_GAS!$F$28</definedName>
    <definedName name="GAS_MASS_FLOW" localSheetId="2">[1]PSV_GAS!$F$21</definedName>
    <definedName name="GAS_MET" localSheetId="2">[1]PSV_GAS!#REF!</definedName>
    <definedName name="GAS_MW" localSheetId="2">[1]PSV_GAS!$F$31</definedName>
    <definedName name="GAS_ORI_A" localSheetId="2">[1]PSV_GAS!$F$48</definedName>
    <definedName name="GAS_ORI_INSTALL" localSheetId="2">[1]PSV_GAS!$I$47</definedName>
    <definedName name="GAS_OUT_OLD" localSheetId="2">[1]PSV_GAS!#REF!</definedName>
    <definedName name="GAS_RATED" localSheetId="2">[1]PSV_GAS!$F$50</definedName>
    <definedName name="GAS_REL_P" localSheetId="2">[1]PSV_GAS!$F$25</definedName>
    <definedName name="GAS_SET_P" localSheetId="2">[1]PSV_GAS!$F$23</definedName>
    <definedName name="GAS_T_OPR" localSheetId="2">[1]PSV_GAS!$F$27</definedName>
    <definedName name="GAS_T_VENT" localSheetId="2">[1]PSV_GAS!$F$53</definedName>
    <definedName name="GAS_Z" localSheetId="2">[1]PSV_GAS!$F$33</definedName>
    <definedName name="GATE_D1">PressureDrop!$G$29</definedName>
    <definedName name="GATE_NO">PressureDrop!$E$29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GLOBE_D1">PressureDrop!$G$31</definedName>
    <definedName name="GLOBE_NO">PressureDrop!$E$31</definedName>
    <definedName name="hello" localSheetId="2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>#REF!</definedName>
    <definedName name="HYRAM_MOLEFRACS">#REF!</definedName>
    <definedName name="ID">PressureDrop!$E$20</definedName>
    <definedName name="INCLUDE_COMP">[1]PURE_COMPONENTS!$B$2:$B$24</definedName>
    <definedName name="INCLUDE_PSEUDO">[1]PSEUDO_COMPONENTS!$B$2:$B$21</definedName>
    <definedName name="LFL">#REF!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#REF!</definedName>
    <definedName name="MAX_RELEASE">#REF!</definedName>
    <definedName name="MAX_TIME">#REF!</definedName>
    <definedName name="MIN_RELEASE">#REF!</definedName>
    <definedName name="Orifice_Name">[1]PSV_SUMMARY!$C$64:$C$79</definedName>
    <definedName name="Orifice_size">[1]PSV_SUMMARY!$D$64:$D$79</definedName>
    <definedName name="PIogD">[1]FRONTPAGE!$A$6</definedName>
    <definedName name="POSITIONAL_FLUX">#REF!</definedName>
    <definedName name="PRESSURE_DROP">PressureDrop!$E$40</definedName>
    <definedName name="_xlnm.Print_Area" localSheetId="1">PressureDrop!$A$1:$K$65</definedName>
    <definedName name="_xlnm.Print_Titles" localSheetId="1">PressureDrop!$1:$10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#REF!</definedName>
    <definedName name="RADIATION_X">#REF!</definedName>
    <definedName name="RADIATION_Y">#REF!</definedName>
    <definedName name="RADIATION_Z">#REF!</definedName>
    <definedName name="RADIATIVE_POWER">#REF!</definedName>
    <definedName name="REL_COMP">#REF!</definedName>
    <definedName name="REL_HEIGHT">#REF!</definedName>
    <definedName name="REYNOLDS_NO">PressureDrop!$E$41</definedName>
    <definedName name="RHO">PressureDrop!$E$18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ROUGNESS">PressureDrop!$E$21</definedName>
    <definedName name="sencount" hidden="1">1</definedName>
    <definedName name="STRAIGHT_LENGTH">PressureDrop!$E$22</definedName>
    <definedName name="TANK_VOLUME">#REF!</definedName>
    <definedName name="TEE_SIDE_NO">PressureDrop!$E$35</definedName>
    <definedName name="TEE_STRAIGHT_NO">PressureDrop!$E$34</definedName>
    <definedName name="VELOCITY">PressureDrop!$E$39</definedName>
    <definedName name="VENT_RATE">#REF!</definedName>
    <definedName name="VISC_CP">PressureDrop!$E$19</definedName>
    <definedName name="VISIBLE_LENGTH">#REF!</definedName>
    <definedName name="VMAX">#REF!</definedName>
    <definedName name="VOL_FLOW">PressureDrop!$E$17</definedName>
    <definedName name="WIND_SPEED">#REF!</definedName>
    <definedName name="wrn.Calulation._.Sheets." localSheetId="2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#REF!</definedName>
    <definedName name="XMIN">#REF!</definedName>
    <definedName name="YMAX">#REF!</definedName>
    <definedName name="YMI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9" i="5" l="1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D9" i="5"/>
  <c r="D8" i="5"/>
  <c r="D7" i="5"/>
</calcChain>
</file>

<file path=xl/sharedStrings.xml><?xml version="1.0" encoding="utf-8"?>
<sst xmlns="http://schemas.openxmlformats.org/spreadsheetml/2006/main" count="85" uniqueCount="76">
  <si>
    <t>GAS_MOLE_PCT</t>
  </si>
  <si>
    <t>Project:</t>
  </si>
  <si>
    <t>Subject:</t>
  </si>
  <si>
    <t>Tag No.</t>
  </si>
  <si>
    <t>Ref. drawing</t>
  </si>
  <si>
    <t>Equipment</t>
  </si>
  <si>
    <t xml:space="preserve"> [bar]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</si>
  <si>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</si>
  <si>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</si>
  <si>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</si>
  <si>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</si>
  <si>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</si>
  <si>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</si>
  <si>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</si>
  <si>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</si>
  <si>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</si>
  <si>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</si>
  <si>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</si>
  <si>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</si>
  <si>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</si>
  <si>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</si>
  <si>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</si>
  <si>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</si>
  <si>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Results</t>
  </si>
  <si>
    <t xml:space="preserve"> (m)</t>
  </si>
  <si>
    <t xml:space="preserve"> (--)</t>
  </si>
  <si>
    <t xml:space="preserve"> (bar)</t>
  </si>
  <si>
    <t xml:space="preserve"> (mm)</t>
  </si>
  <si>
    <t>Background</t>
  </si>
  <si>
    <t>Installation</t>
  </si>
  <si>
    <t>A python installation is requried. Install Python 3.11 via the Microsoft Software store.</t>
  </si>
  <si>
    <t>- Open a command prompt (pres Windows key + X, then choose “terminal” or just pres ”i”)</t>
  </si>
  <si>
    <t>- in the open terminal copy the following command and pres return:</t>
  </si>
  <si>
    <t>Instructions</t>
  </si>
  <si>
    <t>Install the OK-Energy code via a Terminal:</t>
  </si>
  <si>
    <t>pip install git+https://github.com/andr1976/OK-Energi.git</t>
  </si>
  <si>
    <t>Then OK-Energi should be ready for usage.</t>
  </si>
  <si>
    <t>Drawing refence:</t>
  </si>
  <si>
    <t>Line no.:</t>
  </si>
  <si>
    <t>Input</t>
  </si>
  <si>
    <t>Basis</t>
  </si>
  <si>
    <t>Volumetric flow</t>
  </si>
  <si>
    <t xml:space="preserve">Fluid density </t>
  </si>
  <si>
    <t xml:space="preserve">Fluid viscosity </t>
  </si>
  <si>
    <t xml:space="preserve">Pipe ID </t>
  </si>
  <si>
    <t>Pipe roughness</t>
  </si>
  <si>
    <t xml:space="preserve"> (m3/h)</t>
  </si>
  <si>
    <t xml:space="preserve"> (kg/m3)</t>
  </si>
  <si>
    <t xml:space="preserve"> (cP)</t>
  </si>
  <si>
    <t>Entrance</t>
  </si>
  <si>
    <t>Exit</t>
  </si>
  <si>
    <t>Bend 90</t>
  </si>
  <si>
    <t>Gate valve</t>
  </si>
  <si>
    <t>Ball valve</t>
  </si>
  <si>
    <t>Globe valve</t>
  </si>
  <si>
    <t>Check valve</t>
  </si>
  <si>
    <t>Tee (straight through)</t>
  </si>
  <si>
    <t>Tee (branch flow)</t>
  </si>
  <si>
    <t xml:space="preserve">Velocity </t>
  </si>
  <si>
    <t>Straight length</t>
  </si>
  <si>
    <t>Fittings</t>
  </si>
  <si>
    <t>Number:</t>
  </si>
  <si>
    <t xml:space="preserve">r/D = </t>
  </si>
  <si>
    <t>Piping Pressure drop evaluation</t>
  </si>
  <si>
    <t>Reynolds number</t>
  </si>
  <si>
    <t xml:space="preserve"> (m/s)</t>
  </si>
  <si>
    <t>Background information</t>
  </si>
  <si>
    <t>Calculations performed using the fluids python library by Caleb Bell  (https://fluids.readthedocs.io/)</t>
  </si>
  <si>
    <t>D throat/seat</t>
  </si>
  <si>
    <t>Butterfly valve</t>
  </si>
  <si>
    <t>Friction factor (Moody)</t>
  </si>
  <si>
    <t>Friction pressure drop</t>
  </si>
  <si>
    <t>Bend 45</t>
  </si>
  <si>
    <t xml:space="preserve">according to Crane Co. Flow of Fluids Through Valves, Fittings, and Pipe. Crane, 2009 and </t>
  </si>
  <si>
    <t>Rennels, Donald C., and Hobart M. Hudson. Pipe Flow: A Practical and Comprehensive Guide. 1st edition.</t>
  </si>
  <si>
    <t>Hoboken, N.J: Wiley, 2012.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</si>
</sst>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\-00\-00"/>
    <numFmt numFmtId="165" formatCode="0.000"/>
    <numFmt numFmtId="166" formatCode="0.0000"/>
    <numFmt numFmtId="167" formatCode="0.0"/>
    <numFmt numFmtId="168" formatCode="0.00000"/>
  </numFmts>
  <fonts count="20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6" fillId="0" borderId="0"/>
    <xf numFmtId="0" fontId="17" fillId="0" borderId="0"/>
  </cellStyleXfs>
  <cellXfs count="168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5" fillId="0" borderId="0" xfId="1" applyFont="1" applyAlignment="1">
      <alignment vertical="center" wrapText="1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1" fontId="5" fillId="0" borderId="0" xfId="1" applyNumberFormat="1" applyFont="1" applyAlignment="1">
      <alignment vertical="center"/>
    </xf>
    <xf numFmtId="167" fontId="5" fillId="0" borderId="0" xfId="1" applyNumberFormat="1" applyFont="1" applyAlignment="1" applyProtection="1">
      <alignment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5" fontId="5" fillId="0" borderId="0" xfId="1" applyNumberFormat="1" applyFont="1" applyAlignment="1">
      <alignment vertical="center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0" fontId="0" fillId="4" borderId="0" xfId="0" applyFill="1"/>
    <xf numFmtId="0" fontId="7" fillId="4" borderId="0" xfId="0" applyFont="1" applyFill="1"/>
    <xf numFmtId="0" fontId="0" fillId="4" borderId="0" xfId="0" quotePrefix="1" applyFill="1"/>
    <xf numFmtId="0" fontId="19" fillId="4" borderId="0" xfId="0" applyFont="1" applyFill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2" fontId="5" fillId="0" borderId="0" xfId="0" applyNumberFormat="1" applyFont="1" applyProtection="1">
      <protection locked="0"/>
    </xf>
    <xf numFmtId="0" fontId="3" fillId="0" borderId="0" xfId="0" applyFont="1" applyAlignment="1">
      <alignment vertical="top" wrapText="1"/>
    </xf>
    <xf numFmtId="166" fontId="5" fillId="0" borderId="0" xfId="0" quotePrefix="1" applyNumberFormat="1" applyFont="1"/>
    <xf numFmtId="0" fontId="5" fillId="2" borderId="0" xfId="0" applyFont="1" applyFill="1" applyProtection="1">
      <protection locked="0"/>
    </xf>
    <xf numFmtId="0" fontId="5" fillId="2" borderId="0" xfId="0" applyFont="1" applyFill="1"/>
    <xf numFmtId="0" fontId="5" fillId="2" borderId="12" xfId="0" applyFont="1" applyFill="1" applyBorder="1"/>
    <xf numFmtId="0" fontId="3" fillId="0" borderId="0" xfId="2" applyFont="1" applyAlignment="1">
      <alignment horizontal="center" vertical="center" wrapText="1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0" borderId="0" xfId="0" applyFont="1"/>
    <xf numFmtId="0" fontId="5" fillId="2" borderId="12" xfId="0" applyFont="1" applyFill="1" applyBorder="1" applyProtection="1">
      <protection locked="0"/>
    </xf>
    <xf numFmtId="0" fontId="5" fillId="2" borderId="12" xfId="0" applyFont="1" applyFill="1" applyBorder="1" applyAlignment="1" applyProtection="1">
      <alignment horizontal="right" indent="3"/>
      <protection locked="0"/>
    </xf>
    <xf numFmtId="0" fontId="5" fillId="2" borderId="12" xfId="0" applyFont="1" applyFill="1" applyBorder="1" applyAlignment="1">
      <alignment horizontal="right" indent="3"/>
    </xf>
    <xf numFmtId="0" fontId="5" fillId="2" borderId="1" xfId="1" applyFont="1" applyFill="1" applyBorder="1" applyAlignment="1" applyProtection="1">
      <alignment horizontal="right" vertical="center" indent="3"/>
      <protection locked="0"/>
    </xf>
    <xf numFmtId="0" fontId="5" fillId="2" borderId="2" xfId="1" applyFont="1" applyFill="1" applyBorder="1" applyAlignment="1" applyProtection="1">
      <alignment horizontal="right" vertical="center" indent="3"/>
      <protection locked="0"/>
    </xf>
    <xf numFmtId="0" fontId="5" fillId="2" borderId="3" xfId="1" applyFont="1" applyFill="1" applyBorder="1" applyAlignment="1" applyProtection="1">
      <alignment horizontal="right" vertical="center" indent="3"/>
      <protection locked="0"/>
    </xf>
    <xf numFmtId="167" fontId="5" fillId="2" borderId="1" xfId="1" applyNumberFormat="1" applyFont="1" applyFill="1" applyBorder="1" applyAlignment="1" applyProtection="1">
      <alignment horizontal="right" vertical="center" indent="3"/>
      <protection locked="0"/>
    </xf>
    <xf numFmtId="167" fontId="5" fillId="2" borderId="2" xfId="1" applyNumberFormat="1" applyFont="1" applyFill="1" applyBorder="1" applyAlignment="1" applyProtection="1">
      <alignment horizontal="right" vertical="center" indent="3"/>
      <protection locked="0"/>
    </xf>
    <xf numFmtId="167" fontId="5" fillId="2" borderId="3" xfId="1" applyNumberFormat="1" applyFont="1" applyFill="1" applyBorder="1" applyAlignment="1" applyProtection="1">
      <alignment horizontal="right" vertical="center" indent="3"/>
      <protection locked="0"/>
    </xf>
    <xf numFmtId="2" fontId="5" fillId="3" borderId="12" xfId="1" applyNumberFormat="1" applyFont="1" applyFill="1" applyBorder="1" applyAlignment="1">
      <alignment vertical="center"/>
    </xf>
    <xf numFmtId="3" fontId="5" fillId="3" borderId="12" xfId="1" applyNumberFormat="1" applyFont="1" applyFill="1" applyBorder="1" applyAlignment="1">
      <alignment vertical="center"/>
    </xf>
    <xf numFmtId="166" fontId="5" fillId="3" borderId="12" xfId="1" applyNumberFormat="1" applyFont="1" applyFill="1" applyBorder="1" applyAlignment="1">
      <alignment vertical="center"/>
    </xf>
    <xf numFmtId="1" fontId="5" fillId="2" borderId="12" xfId="1" applyNumberFormat="1" applyFont="1" applyFill="1" applyBorder="1" applyAlignment="1" applyProtection="1">
      <alignment horizontal="right" vertical="center"/>
      <protection locked="0"/>
    </xf>
    <xf numFmtId="1" fontId="5" fillId="2" borderId="12" xfId="1" applyNumberFormat="1" applyFont="1" applyFill="1" applyBorder="1" applyAlignment="1">
      <alignment vertical="center"/>
    </xf>
    <xf numFmtId="0" fontId="5" fillId="4" borderId="0" xfId="1" applyFont="1" applyFill="1" applyBorder="1" applyAlignment="1">
      <alignment vertical="center"/>
    </xf>
    <xf numFmtId="167" fontId="5" fillId="4" borderId="0" xfId="1" applyNumberFormat="1" applyFont="1" applyFill="1" applyBorder="1" applyAlignment="1" applyProtection="1">
      <alignment horizontal="right" vertical="center"/>
      <protection locked="0"/>
    </xf>
  </cellXfs>
  <cellStyles count="4"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11</xdr:row>
      <xdr:rowOff>114300</xdr:rowOff>
    </xdr:from>
    <xdr:to>
      <xdr:col>8</xdr:col>
      <xdr:colOff>400050</xdr:colOff>
      <xdr:row>33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40</xdr:row>
      <xdr:rowOff>1</xdr:rowOff>
    </xdr:from>
    <xdr:to>
      <xdr:col>11</xdr:col>
      <xdr:colOff>593261</xdr:colOff>
      <xdr:row>53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0</xdr:col>
      <xdr:colOff>582930</xdr:colOff>
      <xdr:row>0</xdr:row>
      <xdr:rowOff>102870</xdr:rowOff>
    </xdr:from>
    <xdr:to>
      <xdr:col>2</xdr:col>
      <xdr:colOff>93075</xdr:colOff>
      <xdr:row>5</xdr:row>
      <xdr:rowOff>81915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30" y="102870"/>
          <a:ext cx="729345" cy="8362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12</xdr:row>
          <xdr:rowOff>66675</xdr:rowOff>
        </xdr:from>
        <xdr:to>
          <xdr:col>10</xdr:col>
          <xdr:colOff>123825</xdr:colOff>
          <xdr:row>15</xdr:row>
          <xdr:rowOff>47625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Calc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5292</xdr:colOff>
      <xdr:row>0</xdr:row>
      <xdr:rowOff>576690</xdr:rowOff>
    </xdr:from>
    <xdr:to>
      <xdr:col>10</xdr:col>
      <xdr:colOff>496358</xdr:colOff>
      <xdr:row>2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FAB60F-813C-E4E6-2C27-782306C94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0750" y="576690"/>
          <a:ext cx="2247900" cy="797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92"/>
  <sheetViews>
    <sheetView workbookViewId="0">
      <selection activeCell="B58" sqref="B58"/>
    </sheetView>
  </sheetViews>
  <sheetFormatPr defaultRowHeight="12.75" x14ac:dyDescent="0.2"/>
  <sheetData>
    <row r="1" spans="1:13" x14ac:dyDescent="0.2">
      <c r="A1" s="136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</row>
    <row r="2" spans="1:13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</row>
    <row r="3" spans="1:13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</row>
    <row r="4" spans="1:13" x14ac:dyDescent="0.2">
      <c r="A4" s="136"/>
      <c r="B4" s="136"/>
      <c r="C4" s="136"/>
      <c r="D4" s="136"/>
      <c r="E4" s="136"/>
      <c r="G4" s="136"/>
      <c r="H4" s="136"/>
      <c r="I4" s="136"/>
      <c r="J4" s="136"/>
      <c r="K4" s="136"/>
      <c r="L4" s="136"/>
      <c r="M4" s="136"/>
    </row>
    <row r="5" spans="1:13" x14ac:dyDescent="0.2">
      <c r="A5" s="136"/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x14ac:dyDescent="0.2">
      <c r="A6" s="136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 x14ac:dyDescent="0.2">
      <c r="A7" s="136"/>
      <c r="B7" s="137" t="s">
        <v>28</v>
      </c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 x14ac:dyDescent="0.2">
      <c r="A8" s="136"/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</row>
    <row r="9" spans="1:13" x14ac:dyDescent="0.2">
      <c r="A9" s="136"/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</row>
    <row r="10" spans="1:13" x14ac:dyDescent="0.2">
      <c r="A10" s="136"/>
      <c r="B10" s="137" t="s">
        <v>29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</row>
    <row r="11" spans="1:13" x14ac:dyDescent="0.2">
      <c r="A11" s="136"/>
      <c r="B11" s="136" t="s">
        <v>30</v>
      </c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</row>
    <row r="12" spans="1:13" x14ac:dyDescent="0.2">
      <c r="A12" s="136"/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  <c r="M12" s="136"/>
    </row>
    <row r="13" spans="1:13" x14ac:dyDescent="0.2">
      <c r="A13" s="136"/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</row>
    <row r="14" spans="1:13" x14ac:dyDescent="0.2">
      <c r="A14" s="136"/>
      <c r="B14" s="136"/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</row>
    <row r="15" spans="1:13" x14ac:dyDescent="0.2">
      <c r="A15" s="136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</row>
    <row r="16" spans="1:13" x14ac:dyDescent="0.2">
      <c r="A16" s="136"/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3" x14ac:dyDescent="0.2">
      <c r="A17" s="136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</row>
    <row r="18" spans="1:13" x14ac:dyDescent="0.2">
      <c r="A18" s="136"/>
      <c r="B18" s="136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</row>
    <row r="19" spans="1:13" x14ac:dyDescent="0.2">
      <c r="A19" s="136"/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3" x14ac:dyDescent="0.2">
      <c r="A20" s="136"/>
      <c r="B20" s="136"/>
      <c r="C20" s="136"/>
      <c r="D20" s="136"/>
      <c r="E20" s="136"/>
      <c r="F20" s="136"/>
      <c r="G20" s="136"/>
      <c r="H20" s="136"/>
      <c r="I20" s="136"/>
      <c r="J20" s="136"/>
      <c r="K20" s="136"/>
      <c r="L20" s="136"/>
      <c r="M20" s="136"/>
    </row>
    <row r="21" spans="1:13" x14ac:dyDescent="0.2">
      <c r="A21" s="136"/>
      <c r="B21" s="136"/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6"/>
    </row>
    <row r="22" spans="1:13" x14ac:dyDescent="0.2">
      <c r="A22" s="136"/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</row>
    <row r="23" spans="1:13" x14ac:dyDescent="0.2">
      <c r="A23" s="136"/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</row>
    <row r="24" spans="1:13" x14ac:dyDescent="0.2">
      <c r="A24" s="136"/>
      <c r="B24" s="136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</row>
    <row r="25" spans="1:13" x14ac:dyDescent="0.2">
      <c r="A25" s="136"/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</row>
    <row r="26" spans="1:13" x14ac:dyDescent="0.2">
      <c r="A26" s="136"/>
      <c r="B26" s="136"/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</row>
    <row r="27" spans="1:13" x14ac:dyDescent="0.2">
      <c r="A27" s="136"/>
      <c r="B27" s="136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</row>
    <row r="28" spans="1:13" x14ac:dyDescent="0.2">
      <c r="A28" s="136"/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</row>
    <row r="29" spans="1:13" x14ac:dyDescent="0.2">
      <c r="A29" s="136"/>
      <c r="B29" s="136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</row>
    <row r="30" spans="1:13" x14ac:dyDescent="0.2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</row>
    <row r="31" spans="1:13" x14ac:dyDescent="0.2">
      <c r="A31" s="136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</row>
    <row r="32" spans="1:13" x14ac:dyDescent="0.2">
      <c r="A32" s="136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</row>
    <row r="33" spans="1:13" x14ac:dyDescent="0.2">
      <c r="A33" s="136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</row>
    <row r="34" spans="1:13" x14ac:dyDescent="0.2">
      <c r="A34" s="136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</row>
    <row r="35" spans="1:13" x14ac:dyDescent="0.2">
      <c r="A35" s="136"/>
      <c r="B35" s="136" t="s">
        <v>34</v>
      </c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</row>
    <row r="36" spans="1:13" x14ac:dyDescent="0.2">
      <c r="A36" s="136"/>
      <c r="B36" s="138" t="s">
        <v>31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</row>
    <row r="37" spans="1:13" x14ac:dyDescent="0.2">
      <c r="A37" s="136"/>
      <c r="B37" s="138" t="s">
        <v>32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</row>
    <row r="38" spans="1:13" ht="13.5" x14ac:dyDescent="0.25">
      <c r="A38" s="136"/>
      <c r="B38" s="136"/>
      <c r="C38" s="139" t="s">
        <v>35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</row>
    <row r="39" spans="1:13" x14ac:dyDescent="0.2">
      <c r="A39" s="136"/>
      <c r="B39" s="136" t="s">
        <v>36</v>
      </c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</row>
    <row r="40" spans="1:13" x14ac:dyDescent="0.2">
      <c r="A40" s="136"/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</row>
    <row r="41" spans="1:13" x14ac:dyDescent="0.2">
      <c r="A41" s="136"/>
      <c r="B41" s="136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</row>
    <row r="42" spans="1:13" x14ac:dyDescent="0.2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</row>
    <row r="43" spans="1:13" x14ac:dyDescent="0.2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</row>
    <row r="44" spans="1:13" x14ac:dyDescent="0.2">
      <c r="A44" s="136"/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</row>
    <row r="45" spans="1:13" x14ac:dyDescent="0.2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</row>
    <row r="46" spans="1:13" x14ac:dyDescent="0.2">
      <c r="A46" s="136"/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</row>
    <row r="47" spans="1:13" x14ac:dyDescent="0.2">
      <c r="A47" s="136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</row>
    <row r="48" spans="1:13" x14ac:dyDescent="0.2">
      <c r="A48" s="136"/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</row>
    <row r="49" spans="1:13" x14ac:dyDescent="0.2">
      <c r="A49" s="136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13" x14ac:dyDescent="0.2">
      <c r="A50" s="136"/>
      <c r="B50" s="136"/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</row>
    <row r="51" spans="1:13" x14ac:dyDescent="0.2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</row>
    <row r="52" spans="1:13" x14ac:dyDescent="0.2">
      <c r="A52" s="136"/>
      <c r="B52" s="136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</row>
    <row r="53" spans="1:13" x14ac:dyDescent="0.2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</row>
    <row r="54" spans="1:13" x14ac:dyDescent="0.2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136"/>
      <c r="M54" s="136"/>
    </row>
    <row r="55" spans="1:13" x14ac:dyDescent="0.2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13" x14ac:dyDescent="0.2">
      <c r="A56" s="136"/>
      <c r="B56" s="137" t="s">
        <v>33</v>
      </c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</row>
    <row r="57" spans="1:13" x14ac:dyDescent="0.2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</row>
    <row r="58" spans="1:13" x14ac:dyDescent="0.2">
      <c r="A58" s="136"/>
      <c r="B58" s="136"/>
      <c r="C58" s="136"/>
      <c r="D58" s="136"/>
      <c r="E58" s="136"/>
      <c r="F58" s="136"/>
      <c r="G58" s="136"/>
      <c r="H58" s="136"/>
      <c r="I58" s="136"/>
      <c r="J58" s="136"/>
      <c r="K58" s="136"/>
      <c r="L58" s="136"/>
      <c r="M58" s="136"/>
    </row>
    <row r="59" spans="1:13" x14ac:dyDescent="0.2">
      <c r="A59" s="136"/>
      <c r="B59" s="136"/>
      <c r="C59" s="136"/>
      <c r="D59" s="136"/>
      <c r="E59" s="136"/>
      <c r="F59" s="136"/>
      <c r="G59" s="136"/>
      <c r="H59" s="136"/>
      <c r="I59" s="136"/>
      <c r="J59" s="136"/>
      <c r="K59" s="136"/>
      <c r="L59" s="136"/>
      <c r="M59" s="136"/>
    </row>
    <row r="60" spans="1:13" x14ac:dyDescent="0.2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</row>
    <row r="61" spans="1:13" x14ac:dyDescent="0.2">
      <c r="A61" s="136"/>
      <c r="B61" s="136"/>
      <c r="C61" s="136"/>
      <c r="D61" s="136"/>
      <c r="E61" s="136"/>
      <c r="F61" s="136"/>
      <c r="G61" s="136"/>
      <c r="H61" s="136"/>
      <c r="I61" s="136"/>
      <c r="J61" s="136"/>
      <c r="K61" s="136"/>
      <c r="L61" s="136"/>
      <c r="M61" s="136"/>
    </row>
    <row r="62" spans="1:13" x14ac:dyDescent="0.2">
      <c r="A62" s="136"/>
      <c r="B62" s="136"/>
      <c r="C62" s="136"/>
      <c r="D62" s="136"/>
      <c r="E62" s="136"/>
      <c r="F62" s="136"/>
      <c r="G62" s="136"/>
      <c r="H62" s="136"/>
      <c r="I62" s="136"/>
      <c r="J62" s="136"/>
      <c r="K62" s="136"/>
      <c r="L62" s="136"/>
      <c r="M62" s="136"/>
    </row>
    <row r="63" spans="1:13" x14ac:dyDescent="0.2">
      <c r="A63" s="136"/>
      <c r="B63" s="138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4" spans="1:13" x14ac:dyDescent="0.2">
      <c r="A64" s="136"/>
      <c r="B64" s="138"/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</row>
    <row r="65" spans="1:13" x14ac:dyDescent="0.2">
      <c r="A65" s="136"/>
      <c r="B65" s="138"/>
      <c r="C65" s="136"/>
      <c r="D65" s="136"/>
      <c r="E65" s="136"/>
      <c r="F65" s="136"/>
      <c r="G65" s="136"/>
      <c r="H65" s="136"/>
      <c r="I65" s="136"/>
      <c r="J65" s="136"/>
      <c r="K65" s="136"/>
      <c r="L65" s="136"/>
      <c r="M65" s="136"/>
    </row>
    <row r="66" spans="1:13" x14ac:dyDescent="0.2">
      <c r="A66" s="136"/>
      <c r="B66" s="136"/>
      <c r="C66" s="136"/>
      <c r="D66" s="136"/>
      <c r="E66" s="136"/>
      <c r="F66" s="136"/>
      <c r="G66" s="136"/>
      <c r="H66" s="136"/>
      <c r="I66" s="136"/>
      <c r="J66" s="136"/>
      <c r="K66" s="136"/>
      <c r="L66" s="136"/>
      <c r="M66" s="136"/>
    </row>
    <row r="67" spans="1:13" x14ac:dyDescent="0.2">
      <c r="A67" s="136"/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</row>
    <row r="68" spans="1:13" x14ac:dyDescent="0.2">
      <c r="A68" s="136"/>
      <c r="B68" s="136"/>
      <c r="C68" s="136"/>
      <c r="D68" s="136"/>
      <c r="E68" s="136"/>
      <c r="F68" s="136"/>
      <c r="G68" s="136"/>
      <c r="H68" s="136"/>
      <c r="I68" s="136"/>
      <c r="J68" s="136"/>
      <c r="K68" s="136"/>
      <c r="L68" s="136"/>
      <c r="M68" s="136"/>
    </row>
    <row r="69" spans="1:13" ht="13.5" x14ac:dyDescent="0.25">
      <c r="A69" s="136"/>
      <c r="B69" s="136"/>
      <c r="C69" s="139"/>
      <c r="D69" s="136"/>
      <c r="E69" s="136"/>
      <c r="F69" s="136"/>
      <c r="G69" s="136"/>
      <c r="H69" s="136"/>
      <c r="I69" s="136"/>
      <c r="J69" s="136"/>
      <c r="K69" s="136"/>
      <c r="L69" s="136"/>
      <c r="M69" s="136"/>
    </row>
    <row r="70" spans="1:13" x14ac:dyDescent="0.2">
      <c r="A70" s="136"/>
      <c r="B70" s="136"/>
      <c r="C70" s="136"/>
      <c r="D70" s="136"/>
      <c r="E70" s="136"/>
      <c r="F70" s="136"/>
      <c r="G70" s="136"/>
      <c r="H70" s="136"/>
      <c r="I70" s="136"/>
      <c r="J70" s="136"/>
      <c r="K70" s="136"/>
      <c r="L70" s="136"/>
      <c r="M70" s="136"/>
    </row>
    <row r="71" spans="1:13" x14ac:dyDescent="0.2">
      <c r="A71" s="136"/>
      <c r="B71" s="136"/>
      <c r="C71" s="136"/>
      <c r="D71" s="136"/>
      <c r="E71" s="136"/>
      <c r="F71" s="136"/>
      <c r="G71" s="136"/>
      <c r="H71" s="136"/>
      <c r="I71" s="136"/>
      <c r="J71" s="136"/>
      <c r="K71" s="136"/>
      <c r="L71" s="136"/>
      <c r="M71" s="136"/>
    </row>
    <row r="72" spans="1:13" x14ac:dyDescent="0.2">
      <c r="A72" s="136"/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</row>
    <row r="73" spans="1:13" x14ac:dyDescent="0.2">
      <c r="A73" s="136"/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</row>
    <row r="74" spans="1:13" x14ac:dyDescent="0.2">
      <c r="A74" s="136"/>
      <c r="B74" s="136"/>
      <c r="C74" s="136"/>
      <c r="D74" s="136"/>
      <c r="E74" s="136"/>
      <c r="F74" s="136"/>
      <c r="G74" s="136"/>
      <c r="H74" s="136"/>
      <c r="I74" s="136"/>
      <c r="J74" s="136"/>
      <c r="K74" s="136"/>
      <c r="L74" s="136"/>
      <c r="M74" s="136"/>
    </row>
    <row r="75" spans="1:13" x14ac:dyDescent="0.2">
      <c r="A75" s="136"/>
      <c r="B75" s="136"/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</row>
    <row r="76" spans="1:13" x14ac:dyDescent="0.2">
      <c r="A76" s="136"/>
      <c r="B76" s="136"/>
      <c r="C76" s="136"/>
      <c r="D76" s="136"/>
      <c r="E76" s="136"/>
      <c r="F76" s="136"/>
      <c r="G76" s="136"/>
      <c r="H76" s="136"/>
      <c r="I76" s="136"/>
      <c r="J76" s="136"/>
      <c r="K76" s="136"/>
      <c r="L76" s="136"/>
      <c r="M76" s="136"/>
    </row>
    <row r="77" spans="1:13" x14ac:dyDescent="0.2">
      <c r="A77" s="136"/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</row>
    <row r="78" spans="1:13" x14ac:dyDescent="0.2">
      <c r="A78" s="136"/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</row>
    <row r="79" spans="1:13" x14ac:dyDescent="0.2">
      <c r="A79" s="136"/>
      <c r="B79" s="136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</row>
    <row r="80" spans="1:13" x14ac:dyDescent="0.2">
      <c r="A80" s="136"/>
      <c r="B80" s="136"/>
      <c r="C80" s="136"/>
      <c r="D80" s="136"/>
      <c r="E80" s="136"/>
      <c r="F80" s="136"/>
      <c r="G80" s="136"/>
      <c r="H80" s="136"/>
      <c r="I80" s="136"/>
      <c r="J80" s="136"/>
      <c r="K80" s="136"/>
      <c r="L80" s="136"/>
      <c r="M80" s="136"/>
    </row>
    <row r="81" spans="1:13" x14ac:dyDescent="0.2">
      <c r="A81" s="136"/>
      <c r="B81" s="136"/>
      <c r="C81" s="136"/>
      <c r="D81" s="136"/>
      <c r="E81" s="136"/>
      <c r="F81" s="136"/>
      <c r="G81" s="136"/>
      <c r="H81" s="136"/>
      <c r="I81" s="136"/>
      <c r="J81" s="136"/>
      <c r="K81" s="136"/>
      <c r="L81" s="136"/>
      <c r="M81" s="136"/>
    </row>
    <row r="82" spans="1:13" x14ac:dyDescent="0.2">
      <c r="A82" s="136"/>
      <c r="B82" s="136"/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</row>
    <row r="83" spans="1:13" x14ac:dyDescent="0.2">
      <c r="A83" s="136"/>
      <c r="B83" s="136"/>
      <c r="C83" s="136"/>
      <c r="D83" s="136"/>
      <c r="E83" s="136"/>
      <c r="F83" s="136"/>
      <c r="G83" s="136"/>
      <c r="H83" s="136"/>
      <c r="I83" s="136"/>
      <c r="J83" s="136"/>
      <c r="K83" s="136"/>
      <c r="L83" s="136"/>
      <c r="M83" s="136"/>
    </row>
    <row r="84" spans="1:13" x14ac:dyDescent="0.2">
      <c r="A84" s="136"/>
      <c r="B84" s="136"/>
      <c r="C84" s="136"/>
      <c r="D84" s="136"/>
      <c r="E84" s="136"/>
      <c r="F84" s="136"/>
      <c r="G84" s="136"/>
      <c r="H84" s="136"/>
      <c r="I84" s="136"/>
      <c r="J84" s="136"/>
      <c r="K84" s="136"/>
      <c r="L84" s="136"/>
      <c r="M84" s="136"/>
    </row>
    <row r="85" spans="1:13" x14ac:dyDescent="0.2">
      <c r="A85" s="136"/>
      <c r="B85" s="136"/>
      <c r="C85" s="136"/>
      <c r="D85" s="136"/>
      <c r="E85" s="136"/>
      <c r="F85" s="136"/>
      <c r="G85" s="136"/>
      <c r="H85" s="136"/>
      <c r="I85" s="136"/>
      <c r="J85" s="136"/>
      <c r="K85" s="136"/>
      <c r="L85" s="136"/>
      <c r="M85" s="136"/>
    </row>
    <row r="86" spans="1:13" x14ac:dyDescent="0.2">
      <c r="A86" s="136"/>
      <c r="B86" s="136"/>
      <c r="C86" s="136"/>
      <c r="D86" s="136"/>
      <c r="E86" s="136"/>
      <c r="F86" s="136"/>
      <c r="G86" s="136"/>
      <c r="H86" s="136"/>
      <c r="I86" s="136"/>
      <c r="J86" s="136"/>
      <c r="K86" s="136"/>
      <c r="L86" s="136"/>
      <c r="M86" s="136"/>
    </row>
    <row r="87" spans="1:13" x14ac:dyDescent="0.2">
      <c r="A87" s="136"/>
      <c r="B87" s="136"/>
      <c r="C87" s="136"/>
      <c r="D87" s="136"/>
      <c r="E87" s="136"/>
      <c r="F87" s="136"/>
      <c r="G87" s="136"/>
      <c r="H87" s="136"/>
      <c r="I87" s="136"/>
      <c r="J87" s="136"/>
      <c r="K87" s="136"/>
      <c r="L87" s="136"/>
      <c r="M87" s="136"/>
    </row>
    <row r="88" spans="1:13" x14ac:dyDescent="0.2">
      <c r="A88" s="136"/>
      <c r="B88" s="136"/>
      <c r="C88" s="136"/>
      <c r="D88" s="136"/>
      <c r="E88" s="136"/>
      <c r="F88" s="136"/>
      <c r="G88" s="136"/>
      <c r="H88" s="136"/>
      <c r="I88" s="136"/>
      <c r="J88" s="136"/>
      <c r="K88" s="136"/>
      <c r="L88" s="136"/>
      <c r="M88" s="136"/>
    </row>
    <row r="89" spans="1:13" x14ac:dyDescent="0.2">
      <c r="A89" s="136"/>
      <c r="B89" s="136"/>
      <c r="C89" s="136"/>
      <c r="D89" s="136"/>
      <c r="E89" s="136"/>
      <c r="F89" s="136"/>
      <c r="G89" s="136"/>
      <c r="H89" s="136"/>
      <c r="I89" s="136"/>
      <c r="J89" s="136"/>
      <c r="K89" s="136"/>
      <c r="L89" s="136"/>
      <c r="M89" s="136"/>
    </row>
    <row r="90" spans="1:13" x14ac:dyDescent="0.2">
      <c r="A90" s="136"/>
      <c r="B90" s="136"/>
      <c r="C90" s="136"/>
      <c r="D90" s="136"/>
      <c r="E90" s="136"/>
      <c r="F90" s="136"/>
      <c r="G90" s="136"/>
      <c r="H90" s="136"/>
      <c r="I90" s="136"/>
      <c r="J90" s="136"/>
      <c r="K90" s="136"/>
      <c r="L90" s="136"/>
      <c r="M90" s="136"/>
    </row>
    <row r="91" spans="1:13" x14ac:dyDescent="0.2">
      <c r="A91" s="136"/>
      <c r="B91" s="136"/>
      <c r="C91" s="136"/>
      <c r="D91" s="136"/>
      <c r="E91" s="136"/>
      <c r="F91" s="136"/>
      <c r="G91" s="136"/>
      <c r="H91" s="136"/>
      <c r="I91" s="136"/>
      <c r="J91" s="136"/>
      <c r="K91" s="136"/>
      <c r="L91" s="136"/>
      <c r="M91" s="136"/>
    </row>
    <row r="92" spans="1:13" x14ac:dyDescent="0.2">
      <c r="A92" s="136"/>
      <c r="B92" s="136"/>
      <c r="C92" s="136"/>
      <c r="D92" s="136"/>
      <c r="E92" s="136"/>
      <c r="F92" s="136"/>
      <c r="G92" s="136"/>
      <c r="H92" s="136"/>
      <c r="I92" s="136"/>
      <c r="J92" s="136"/>
      <c r="K92" s="136"/>
      <c r="L92" s="136"/>
      <c r="M92" s="13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50"/>
  <sheetViews>
    <sheetView showGridLines="0" tabSelected="1" defaultGridColor="0" view="pageBreakPreview" colorId="8" zoomScale="180" zoomScaleNormal="100" zoomScaleSheetLayoutView="180" workbookViewId="0">
      <selection activeCell="I37" sqref="I37"/>
    </sheetView>
  </sheetViews>
  <sheetFormatPr defaultColWidth="8.85546875" defaultRowHeight="12.75" x14ac:dyDescent="0.2"/>
  <cols>
    <col min="1" max="1" width="2.28515625" style="105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06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49" t="s">
        <v>1</v>
      </c>
      <c r="B3" s="150"/>
      <c r="C3" s="150"/>
      <c r="D3" s="150"/>
      <c r="E3" s="150"/>
      <c r="F3" s="150"/>
      <c r="G3" s="150"/>
      <c r="H3" s="150"/>
      <c r="I3" s="150"/>
      <c r="J3" s="21"/>
      <c r="K3" s="22"/>
      <c r="L3" s="8"/>
      <c r="M3" s="19"/>
      <c r="N3" s="151"/>
      <c r="O3" s="151"/>
      <c r="P3" s="151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51"/>
      <c r="O4" s="151"/>
      <c r="P4" s="151"/>
      <c r="Q4" s="18"/>
      <c r="R4" s="18"/>
      <c r="S4" s="18"/>
      <c r="T4" s="18"/>
    </row>
    <row r="5" spans="1:20" ht="12.75" customHeight="1" x14ac:dyDescent="0.2">
      <c r="A5" s="24" t="s">
        <v>63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51"/>
      <c r="O5" s="151"/>
      <c r="P5" s="151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5"/>
      <c r="O11" s="5"/>
      <c r="P11" s="18"/>
      <c r="Q11" s="18"/>
      <c r="R11" s="18"/>
      <c r="S11" s="18"/>
      <c r="T11" s="18"/>
    </row>
    <row r="12" spans="1:20" s="20" customFormat="1" x14ac:dyDescent="0.2">
      <c r="A12" s="28"/>
      <c r="B12" s="36" t="s">
        <v>40</v>
      </c>
      <c r="C12" s="48"/>
      <c r="D12" s="48"/>
      <c r="E12" s="48"/>
      <c r="F12" s="48"/>
      <c r="G12" s="48"/>
      <c r="H12" s="18"/>
      <c r="I12" s="18"/>
      <c r="J12"/>
      <c r="K12" s="30"/>
      <c r="L12" s="18"/>
      <c r="M12" s="5"/>
      <c r="O12" s="5"/>
      <c r="P12" s="18"/>
      <c r="Q12" s="18"/>
      <c r="R12" s="18"/>
      <c r="S12" s="18"/>
      <c r="T12" s="18"/>
    </row>
    <row r="13" spans="1:20" s="20" customFormat="1" ht="11.25" x14ac:dyDescent="0.2">
      <c r="A13" s="28"/>
      <c r="B13" s="7" t="s">
        <v>37</v>
      </c>
      <c r="C13" s="48"/>
      <c r="D13" s="48"/>
      <c r="E13" s="152"/>
      <c r="F13" s="152"/>
      <c r="G13" s="152"/>
      <c r="H13" s="18"/>
      <c r="I13" s="18"/>
      <c r="J13" s="18"/>
      <c r="K13" s="30"/>
      <c r="L13" s="18"/>
      <c r="M13" s="5"/>
      <c r="O13" s="5"/>
      <c r="P13" s="18"/>
      <c r="Q13" s="18"/>
      <c r="R13" s="18"/>
      <c r="S13" s="18"/>
      <c r="T13" s="18"/>
    </row>
    <row r="14" spans="1:20" s="20" customFormat="1" ht="11.25" x14ac:dyDescent="0.2">
      <c r="A14" s="28"/>
      <c r="B14" s="7" t="s">
        <v>38</v>
      </c>
      <c r="C14" s="7"/>
      <c r="D14" s="7"/>
      <c r="E14" s="147"/>
      <c r="F14" s="147"/>
      <c r="G14" s="147"/>
      <c r="H14" s="48"/>
      <c r="I14" s="48"/>
      <c r="J14" s="48"/>
      <c r="K14" s="30"/>
      <c r="L14" s="18"/>
      <c r="M14" s="140"/>
      <c r="O14" s="19"/>
      <c r="P14" s="18"/>
      <c r="Q14" s="18"/>
      <c r="R14" s="18"/>
      <c r="S14" s="18"/>
      <c r="T14" s="18"/>
    </row>
    <row r="15" spans="1:20" s="20" customFormat="1" ht="11.25" x14ac:dyDescent="0.2">
      <c r="A15" s="28"/>
      <c r="B15" s="18"/>
      <c r="C15" s="18"/>
      <c r="D15" s="18"/>
      <c r="E15" s="18"/>
      <c r="F15" s="18"/>
      <c r="G15" s="18"/>
      <c r="H15" s="18"/>
      <c r="I15" s="18"/>
      <c r="J15" s="18"/>
      <c r="K15" s="30"/>
      <c r="L15" s="18"/>
      <c r="M15" s="141"/>
      <c r="O15" s="141"/>
      <c r="P15" s="18"/>
      <c r="Q15" s="18"/>
      <c r="R15" s="18"/>
      <c r="S15" s="18"/>
      <c r="T15" s="18"/>
    </row>
    <row r="16" spans="1:20" s="20" customFormat="1" ht="11.25" x14ac:dyDescent="0.2">
      <c r="A16" s="28"/>
      <c r="B16" s="36" t="s">
        <v>39</v>
      </c>
      <c r="C16" s="48"/>
      <c r="D16" s="48"/>
      <c r="E16" s="48"/>
      <c r="F16" s="48"/>
      <c r="G16" s="48"/>
      <c r="H16" s="48"/>
      <c r="I16" s="48"/>
      <c r="J16" s="48"/>
      <c r="K16" s="30"/>
      <c r="L16" s="18"/>
      <c r="M16" s="7"/>
      <c r="N16" s="131"/>
      <c r="P16" s="18"/>
      <c r="Q16" s="18"/>
      <c r="R16" s="49"/>
      <c r="S16" s="18"/>
      <c r="T16" s="18"/>
    </row>
    <row r="17" spans="1:25" s="20" customFormat="1" ht="11.25" x14ac:dyDescent="0.2">
      <c r="A17" s="28"/>
      <c r="B17" s="7" t="s">
        <v>41</v>
      </c>
      <c r="C17" s="48"/>
      <c r="D17" s="48"/>
      <c r="E17" s="153">
        <v>100</v>
      </c>
      <c r="F17" s="153"/>
      <c r="G17" s="153"/>
      <c r="H17" s="50" t="s">
        <v>46</v>
      </c>
      <c r="I17" s="50"/>
      <c r="J17" s="50"/>
      <c r="K17" s="30"/>
      <c r="L17" s="18"/>
      <c r="M17" s="7"/>
      <c r="N17" s="131"/>
      <c r="P17" s="18"/>
      <c r="Q17" s="18"/>
      <c r="R17" s="49"/>
      <c r="S17" s="18"/>
      <c r="T17" s="18"/>
    </row>
    <row r="18" spans="1:25" s="20" customFormat="1" ht="11.25" x14ac:dyDescent="0.2">
      <c r="A18" s="28"/>
      <c r="B18" s="7" t="s">
        <v>42</v>
      </c>
      <c r="C18" s="7"/>
      <c r="D18" s="7"/>
      <c r="E18" s="154">
        <v>1000</v>
      </c>
      <c r="F18" s="154"/>
      <c r="G18" s="154"/>
      <c r="H18" s="7" t="s">
        <v>47</v>
      </c>
      <c r="I18" s="7"/>
      <c r="J18" s="7"/>
      <c r="K18" s="30"/>
      <c r="L18" s="18"/>
      <c r="M18" s="7"/>
      <c r="N18" s="131"/>
      <c r="P18" s="18"/>
      <c r="Q18" s="18"/>
      <c r="R18" s="49"/>
      <c r="S18" s="18"/>
      <c r="T18" s="18"/>
    </row>
    <row r="19" spans="1:25" s="20" customFormat="1" ht="11.25" x14ac:dyDescent="0.2">
      <c r="A19" s="28"/>
      <c r="B19" s="20" t="s">
        <v>43</v>
      </c>
      <c r="E19" s="154">
        <v>1</v>
      </c>
      <c r="F19" s="154"/>
      <c r="G19" s="154"/>
      <c r="H19" s="20" t="s">
        <v>48</v>
      </c>
      <c r="K19" s="30"/>
      <c r="L19" s="18"/>
      <c r="M19" s="7"/>
      <c r="N19" s="131"/>
      <c r="P19" s="18"/>
      <c r="Q19" s="18"/>
      <c r="R19" s="18"/>
      <c r="S19" s="18"/>
      <c r="T19" s="18"/>
    </row>
    <row r="20" spans="1:25" s="20" customFormat="1" ht="11.25" x14ac:dyDescent="0.2">
      <c r="A20" s="28"/>
      <c r="B20" s="20" t="s">
        <v>44</v>
      </c>
      <c r="E20" s="155">
        <v>100</v>
      </c>
      <c r="F20" s="156"/>
      <c r="G20" s="157"/>
      <c r="H20" s="20" t="s">
        <v>27</v>
      </c>
      <c r="K20" s="30"/>
      <c r="L20" s="18"/>
      <c r="M20" s="7"/>
      <c r="N20" s="131"/>
      <c r="O20" s="142"/>
      <c r="P20" s="18"/>
      <c r="Q20" s="18"/>
      <c r="R20" s="18"/>
      <c r="S20" s="18"/>
      <c r="T20" s="18"/>
      <c r="U20" s="18"/>
      <c r="V20" s="51"/>
      <c r="W20" s="52"/>
      <c r="X20" s="18"/>
      <c r="Y20" s="18"/>
    </row>
    <row r="21" spans="1:25" s="20" customFormat="1" ht="11.25" x14ac:dyDescent="0.2">
      <c r="A21" s="28"/>
      <c r="B21" s="20" t="s">
        <v>45</v>
      </c>
      <c r="E21" s="155">
        <v>4.4999999999999998E-2</v>
      </c>
      <c r="F21" s="156"/>
      <c r="G21" s="157"/>
      <c r="H21" s="20" t="s">
        <v>27</v>
      </c>
      <c r="K21" s="30"/>
      <c r="L21" s="18"/>
      <c r="M21" s="7"/>
      <c r="N21" s="131"/>
      <c r="O21" s="142"/>
      <c r="P21" s="18"/>
      <c r="Q21" s="18"/>
      <c r="R21" s="18"/>
      <c r="S21" s="18"/>
      <c r="T21" s="18"/>
      <c r="U21" s="18"/>
      <c r="V21" s="51"/>
      <c r="W21" s="52"/>
      <c r="X21" s="18"/>
      <c r="Y21" s="18"/>
    </row>
    <row r="22" spans="1:25" s="20" customFormat="1" ht="11.25" x14ac:dyDescent="0.2">
      <c r="A22" s="28"/>
      <c r="B22" s="20" t="s">
        <v>59</v>
      </c>
      <c r="E22" s="158">
        <v>10</v>
      </c>
      <c r="F22" s="159"/>
      <c r="G22" s="160"/>
      <c r="H22" s="20" t="s">
        <v>24</v>
      </c>
      <c r="K22" s="30"/>
      <c r="L22" s="18"/>
      <c r="M22" s="7"/>
      <c r="N22" s="131"/>
      <c r="O22" s="142"/>
      <c r="P22" s="18"/>
      <c r="Q22" s="18"/>
      <c r="R22" s="18"/>
      <c r="S22" s="18"/>
      <c r="T22" s="18"/>
      <c r="U22" s="18"/>
      <c r="V22" s="18"/>
      <c r="W22" s="18"/>
      <c r="X22" s="51"/>
      <c r="Y22" s="18"/>
    </row>
    <row r="23" spans="1:25" s="20" customFormat="1" ht="11.25" x14ac:dyDescent="0.2">
      <c r="A23" s="28"/>
      <c r="E23" s="18"/>
      <c r="G23" s="19"/>
      <c r="H23" s="53"/>
      <c r="I23" s="18"/>
      <c r="J23" s="18"/>
      <c r="K23" s="30"/>
      <c r="L23" s="18"/>
      <c r="M23" s="7"/>
      <c r="N23" s="131"/>
      <c r="O23" s="142"/>
      <c r="P23" s="5"/>
      <c r="Q23" s="5"/>
      <c r="R23" s="5"/>
      <c r="S23" s="18"/>
      <c r="T23" s="18"/>
      <c r="U23" s="18"/>
      <c r="V23" s="18"/>
      <c r="W23" s="18"/>
      <c r="X23" s="51"/>
      <c r="Y23" s="18"/>
    </row>
    <row r="24" spans="1:25" s="20" customFormat="1" ht="11.25" x14ac:dyDescent="0.2">
      <c r="A24" s="28"/>
      <c r="B24" s="53" t="s">
        <v>60</v>
      </c>
      <c r="C24" s="7"/>
      <c r="D24" s="7"/>
      <c r="E24" s="20" t="s">
        <v>61</v>
      </c>
      <c r="F24" s="18"/>
      <c r="G24" s="51"/>
      <c r="H24" s="18"/>
      <c r="I24" s="135"/>
      <c r="J24" s="18"/>
      <c r="K24" s="56"/>
      <c r="L24" s="18"/>
      <c r="M24" s="7"/>
      <c r="N24" s="131"/>
      <c r="O24" s="142"/>
      <c r="P24" s="143"/>
      <c r="Q24" s="143"/>
      <c r="R24" s="143"/>
      <c r="S24" s="18"/>
      <c r="T24" s="18"/>
      <c r="U24" s="18"/>
      <c r="V24" s="51"/>
      <c r="W24" s="52"/>
      <c r="X24" s="51"/>
      <c r="Y24" s="18"/>
    </row>
    <row r="25" spans="1:25" s="20" customFormat="1" ht="11.25" x14ac:dyDescent="0.2">
      <c r="A25" s="28"/>
      <c r="B25" s="18" t="s">
        <v>49</v>
      </c>
      <c r="C25" s="18"/>
      <c r="D25" s="18"/>
      <c r="E25" s="164"/>
      <c r="F25" s="18"/>
      <c r="G25" s="18"/>
      <c r="H25" s="18"/>
      <c r="I25" s="135"/>
      <c r="J25" s="51"/>
      <c r="K25" s="30"/>
      <c r="L25" s="18"/>
      <c r="M25" s="7"/>
      <c r="N25" s="131"/>
      <c r="O25" s="142"/>
      <c r="P25" s="143"/>
      <c r="Q25" s="143"/>
      <c r="R25" s="143"/>
      <c r="S25" s="18"/>
      <c r="T25" s="18"/>
      <c r="U25" s="57"/>
      <c r="V25" s="18"/>
      <c r="W25" s="18"/>
    </row>
    <row r="26" spans="1:25" s="20" customFormat="1" ht="11.25" x14ac:dyDescent="0.2">
      <c r="A26" s="28"/>
      <c r="B26" s="51" t="s">
        <v>51</v>
      </c>
      <c r="C26" s="18"/>
      <c r="D26" s="18"/>
      <c r="E26" s="164"/>
      <c r="F26" s="29" t="s">
        <v>62</v>
      </c>
      <c r="G26" s="54">
        <v>1.5</v>
      </c>
      <c r="H26" s="53"/>
      <c r="I26" s="135"/>
      <c r="J26" s="51"/>
      <c r="K26" s="56"/>
      <c r="L26" s="18"/>
      <c r="M26" s="7"/>
      <c r="N26" s="131"/>
      <c r="O26" s="142"/>
      <c r="P26" s="49"/>
      <c r="Q26" s="144"/>
      <c r="R26" s="49"/>
      <c r="S26" s="18"/>
      <c r="T26" s="18"/>
      <c r="U26" s="18"/>
      <c r="V26" s="51"/>
      <c r="Y26" s="18"/>
    </row>
    <row r="27" spans="1:25" s="20" customFormat="1" ht="11.25" x14ac:dyDescent="0.2">
      <c r="A27" s="28"/>
      <c r="B27" s="51" t="s">
        <v>72</v>
      </c>
      <c r="C27" s="18"/>
      <c r="D27" s="18"/>
      <c r="E27" s="164"/>
      <c r="F27" s="29" t="s">
        <v>62</v>
      </c>
      <c r="G27" s="54">
        <v>1.5</v>
      </c>
      <c r="H27" s="55"/>
      <c r="I27" s="135"/>
      <c r="J27" s="51"/>
      <c r="K27" s="30"/>
      <c r="L27" s="18"/>
      <c r="M27" s="7"/>
      <c r="N27" s="131"/>
      <c r="O27" s="142"/>
      <c r="P27" s="49"/>
      <c r="Q27" s="144"/>
      <c r="R27" s="49"/>
      <c r="S27" s="18"/>
      <c r="T27" s="51"/>
      <c r="U27" s="58"/>
      <c r="V27" s="51"/>
      <c r="W27" s="52"/>
      <c r="X27" s="51"/>
      <c r="Y27" s="18"/>
    </row>
    <row r="28" spans="1:25" s="20" customFormat="1" ht="11.25" x14ac:dyDescent="0.2">
      <c r="A28" s="28"/>
      <c r="B28" s="20" t="s">
        <v>50</v>
      </c>
      <c r="C28" s="18"/>
      <c r="D28" s="18"/>
      <c r="E28" s="164"/>
      <c r="F28" s="51"/>
      <c r="G28" s="18"/>
      <c r="H28" s="51"/>
      <c r="I28" s="135"/>
      <c r="J28" s="51"/>
      <c r="K28" s="30"/>
      <c r="L28" s="18"/>
      <c r="M28" s="7"/>
      <c r="N28" s="131"/>
      <c r="O28" s="142"/>
      <c r="P28" s="49"/>
      <c r="Q28" s="144"/>
      <c r="R28" s="49"/>
      <c r="S28" s="18"/>
      <c r="T28" s="51"/>
      <c r="U28" s="58"/>
      <c r="V28" s="51"/>
      <c r="W28" s="52"/>
      <c r="X28" s="51"/>
      <c r="Y28" s="18"/>
    </row>
    <row r="29" spans="1:25" s="20" customFormat="1" ht="11.25" x14ac:dyDescent="0.2">
      <c r="A29" s="28"/>
      <c r="B29" s="18" t="s">
        <v>52</v>
      </c>
      <c r="C29" s="18"/>
      <c r="D29" s="18"/>
      <c r="E29" s="165"/>
      <c r="F29" s="18" t="s">
        <v>68</v>
      </c>
      <c r="G29" s="54"/>
      <c r="H29" s="20" t="s">
        <v>27</v>
      </c>
      <c r="I29" s="135"/>
      <c r="J29" s="51"/>
      <c r="K29" s="30" t="s">
        <v>6</v>
      </c>
      <c r="L29" s="18"/>
      <c r="M29" s="7"/>
      <c r="P29" s="49"/>
      <c r="Q29" s="144"/>
      <c r="R29" s="49"/>
      <c r="S29" s="18"/>
      <c r="T29" s="18"/>
      <c r="U29" s="18"/>
      <c r="V29" s="51"/>
      <c r="W29" s="18"/>
      <c r="X29" s="18"/>
      <c r="Y29" s="18"/>
    </row>
    <row r="30" spans="1:25" s="20" customFormat="1" ht="11.25" x14ac:dyDescent="0.2">
      <c r="A30" s="28"/>
      <c r="B30" s="18" t="s">
        <v>53</v>
      </c>
      <c r="C30" s="18"/>
      <c r="D30" s="18"/>
      <c r="E30" s="114"/>
      <c r="F30" s="18" t="s">
        <v>68</v>
      </c>
      <c r="G30" s="54"/>
      <c r="H30" s="20" t="s">
        <v>27</v>
      </c>
      <c r="I30" s="115"/>
      <c r="J30" s="18"/>
      <c r="K30" s="30"/>
      <c r="L30" s="18"/>
      <c r="M30" s="7"/>
      <c r="O30" s="132"/>
      <c r="P30" s="49"/>
      <c r="Q30" s="144"/>
      <c r="R30" s="49"/>
      <c r="S30" s="18"/>
      <c r="T30" s="51"/>
      <c r="U30" s="58"/>
      <c r="V30" s="51"/>
      <c r="W30" s="18"/>
      <c r="X30" s="18"/>
      <c r="Y30" s="18"/>
    </row>
    <row r="31" spans="1:25" s="20" customFormat="1" ht="11.25" x14ac:dyDescent="0.2">
      <c r="A31" s="28"/>
      <c r="B31" s="18" t="s">
        <v>54</v>
      </c>
      <c r="C31" s="18"/>
      <c r="D31" s="18"/>
      <c r="E31" s="114"/>
      <c r="F31" s="18" t="s">
        <v>68</v>
      </c>
      <c r="G31" s="54"/>
      <c r="H31" s="20" t="s">
        <v>27</v>
      </c>
      <c r="I31" s="18"/>
      <c r="J31" s="18"/>
      <c r="K31" s="30"/>
      <c r="L31" s="18"/>
      <c r="M31" s="7"/>
      <c r="O31" s="132"/>
      <c r="P31" s="49"/>
      <c r="Q31" s="49"/>
      <c r="R31" s="49"/>
      <c r="S31" s="18"/>
      <c r="T31" s="18"/>
      <c r="U31" s="18"/>
      <c r="V31" s="51"/>
      <c r="W31" s="18"/>
      <c r="X31" s="18"/>
      <c r="Y31" s="18"/>
    </row>
    <row r="32" spans="1:25" s="20" customFormat="1" ht="11.25" x14ac:dyDescent="0.2">
      <c r="A32" s="28"/>
      <c r="B32" s="18" t="s">
        <v>55</v>
      </c>
      <c r="C32" s="18"/>
      <c r="D32" s="18"/>
      <c r="E32" s="114"/>
      <c r="F32" s="166"/>
      <c r="G32" s="167"/>
      <c r="H32" s="18"/>
      <c r="I32" s="18"/>
      <c r="J32" s="59"/>
      <c r="K32" s="30"/>
      <c r="L32" s="18"/>
      <c r="M32" s="7"/>
      <c r="O32" s="132"/>
      <c r="P32" s="49"/>
      <c r="Q32" s="49"/>
      <c r="R32" s="49"/>
      <c r="S32" s="18"/>
      <c r="T32" s="18"/>
      <c r="U32" s="58"/>
      <c r="V32" s="51"/>
      <c r="W32" s="18"/>
      <c r="X32" s="18"/>
      <c r="Y32" s="18"/>
    </row>
    <row r="33" spans="1:25" s="20" customFormat="1" ht="11.25" x14ac:dyDescent="0.2">
      <c r="A33" s="28"/>
      <c r="B33" s="18" t="s">
        <v>69</v>
      </c>
      <c r="C33" s="18"/>
      <c r="D33" s="18"/>
      <c r="E33" s="114"/>
      <c r="F33" s="166"/>
      <c r="G33" s="167"/>
      <c r="H33" s="18"/>
      <c r="I33" s="18"/>
      <c r="J33" s="59"/>
      <c r="K33" s="30"/>
      <c r="L33" s="18"/>
      <c r="M33" s="7"/>
      <c r="O33" s="132"/>
      <c r="P33" s="49"/>
      <c r="Q33" s="49"/>
      <c r="R33" s="49"/>
      <c r="S33" s="18"/>
      <c r="T33" s="18"/>
      <c r="U33" s="58"/>
      <c r="V33" s="51"/>
      <c r="W33" s="18"/>
      <c r="X33" s="18"/>
      <c r="Y33" s="18"/>
    </row>
    <row r="34" spans="1:25" s="20" customFormat="1" ht="11.25" x14ac:dyDescent="0.2">
      <c r="A34" s="28"/>
      <c r="B34" s="51" t="s">
        <v>56</v>
      </c>
      <c r="C34" s="18"/>
      <c r="D34" s="18"/>
      <c r="E34" s="114"/>
      <c r="G34" s="18"/>
      <c r="H34" s="18"/>
      <c r="I34" s="18"/>
      <c r="J34" s="18"/>
      <c r="K34" s="30"/>
      <c r="L34" s="18"/>
      <c r="M34" s="7"/>
      <c r="O34" s="132"/>
      <c r="P34" s="49"/>
      <c r="Q34" s="49"/>
      <c r="S34" s="18"/>
      <c r="T34" s="18"/>
      <c r="U34" s="57"/>
      <c r="V34" s="51"/>
      <c r="W34" s="18"/>
      <c r="X34" s="60"/>
      <c r="Y34" s="18"/>
    </row>
    <row r="35" spans="1:25" s="20" customFormat="1" ht="11.25" x14ac:dyDescent="0.2">
      <c r="A35" s="61"/>
      <c r="B35" s="18" t="s">
        <v>57</v>
      </c>
      <c r="C35" s="18"/>
      <c r="D35" s="18"/>
      <c r="E35" s="114"/>
      <c r="G35" s="18"/>
      <c r="H35" s="51"/>
      <c r="I35" s="18"/>
      <c r="J35" s="18"/>
      <c r="K35" s="30"/>
      <c r="L35" s="18"/>
      <c r="M35" s="7"/>
      <c r="O35" s="132"/>
      <c r="P35" s="49"/>
      <c r="Q35" s="49"/>
      <c r="S35" s="18"/>
      <c r="T35" s="18"/>
      <c r="U35" s="18"/>
      <c r="V35" s="51"/>
      <c r="W35" s="18"/>
      <c r="X35" s="18"/>
      <c r="Y35" s="18"/>
    </row>
    <row r="36" spans="1:25" s="20" customFormat="1" ht="11.25" x14ac:dyDescent="0.2">
      <c r="A36" s="61"/>
      <c r="B36" s="18"/>
      <c r="C36" s="18"/>
      <c r="D36" s="18"/>
      <c r="E36" s="18"/>
      <c r="G36" s="18"/>
      <c r="H36" s="51"/>
      <c r="I36" s="18"/>
      <c r="J36" s="18"/>
      <c r="K36" s="30"/>
      <c r="L36" s="18"/>
      <c r="M36" s="7"/>
      <c r="O36" s="132"/>
      <c r="P36" s="49"/>
      <c r="Q36" s="49"/>
      <c r="R36" s="49"/>
      <c r="S36" s="18"/>
      <c r="T36" s="18"/>
      <c r="U36" s="58"/>
      <c r="V36" s="51"/>
      <c r="W36" s="18"/>
      <c r="X36" s="18"/>
      <c r="Y36" s="18"/>
    </row>
    <row r="37" spans="1:25" s="20" customFormat="1" ht="11.25" x14ac:dyDescent="0.2">
      <c r="A37" s="61"/>
      <c r="B37" s="36" t="s">
        <v>23</v>
      </c>
      <c r="C37" s="18"/>
      <c r="D37" s="18"/>
      <c r="E37" s="18"/>
      <c r="G37" s="51"/>
      <c r="H37" s="51"/>
      <c r="I37" s="18"/>
      <c r="J37" s="18"/>
      <c r="K37" s="30"/>
      <c r="L37" s="18"/>
      <c r="M37" s="7"/>
      <c r="O37" s="132"/>
      <c r="P37" s="49"/>
      <c r="Q37" s="49"/>
      <c r="R37" s="49"/>
      <c r="S37" s="18"/>
      <c r="T37" s="18"/>
      <c r="U37" s="18"/>
      <c r="V37" s="51"/>
      <c r="W37" s="18"/>
      <c r="X37" s="18"/>
      <c r="Y37" s="18"/>
    </row>
    <row r="38" spans="1:25" s="20" customFormat="1" ht="11.25" x14ac:dyDescent="0.2">
      <c r="A38" s="28"/>
      <c r="B38" s="51"/>
      <c r="C38" s="18"/>
      <c r="D38" s="18"/>
      <c r="E38" s="18"/>
      <c r="G38" s="51"/>
      <c r="H38" s="18"/>
      <c r="I38" s="18"/>
      <c r="J38" s="18"/>
      <c r="K38" s="30"/>
      <c r="L38" s="18"/>
      <c r="M38" s="7"/>
      <c r="O38" s="132"/>
      <c r="P38" s="49"/>
      <c r="Q38" s="49"/>
      <c r="R38" s="49"/>
      <c r="S38" s="18"/>
      <c r="T38" s="18"/>
      <c r="U38" s="18"/>
      <c r="V38" s="51"/>
      <c r="W38" s="18"/>
      <c r="X38" s="18"/>
      <c r="Y38" s="18"/>
    </row>
    <row r="39" spans="1:25" s="20" customFormat="1" ht="11.25" x14ac:dyDescent="0.2">
      <c r="A39" s="61"/>
      <c r="B39" s="18" t="s">
        <v>58</v>
      </c>
      <c r="C39" s="18"/>
      <c r="D39" s="18"/>
      <c r="E39" s="161">
        <v>3.5367765131532294</v>
      </c>
      <c r="F39" s="18" t="s">
        <v>65</v>
      </c>
      <c r="G39" s="62"/>
      <c r="H39" s="51"/>
      <c r="I39" s="18"/>
      <c r="J39" s="18"/>
      <c r="K39" s="30"/>
      <c r="L39" s="18"/>
      <c r="M39" s="7"/>
      <c r="O39" s="132"/>
      <c r="P39" s="49"/>
      <c r="Q39" s="49"/>
      <c r="R39" s="49"/>
      <c r="S39" s="18"/>
      <c r="T39" s="18"/>
      <c r="U39" s="58"/>
      <c r="V39" s="51"/>
      <c r="W39" s="18"/>
      <c r="X39" s="18"/>
      <c r="Y39" s="18"/>
    </row>
    <row r="40" spans="1:25" s="20" customFormat="1" ht="11.25" x14ac:dyDescent="0.2">
      <c r="A40" s="61"/>
      <c r="B40" s="18" t="s">
        <v>71</v>
      </c>
      <c r="C40" s="18"/>
      <c r="D40" s="18"/>
      <c r="E40" s="161">
        <v>0.1107700128186372</v>
      </c>
      <c r="F40" s="20" t="s">
        <v>26</v>
      </c>
      <c r="G40" s="51"/>
      <c r="H40" s="51"/>
      <c r="I40" s="18"/>
      <c r="J40" s="18"/>
      <c r="K40" s="30"/>
      <c r="L40" s="18"/>
      <c r="M40" s="7"/>
      <c r="O40" s="132"/>
      <c r="P40" s="49"/>
      <c r="Q40" s="49"/>
      <c r="R40" s="49"/>
      <c r="S40" s="18"/>
      <c r="T40" s="18"/>
      <c r="U40" s="18"/>
      <c r="V40" s="51"/>
      <c r="W40" s="18"/>
      <c r="X40" s="18"/>
      <c r="Y40" s="18"/>
    </row>
    <row r="41" spans="1:25" s="20" customFormat="1" ht="11.25" x14ac:dyDescent="0.2">
      <c r="A41" s="61"/>
      <c r="B41" s="18" t="s">
        <v>64</v>
      </c>
      <c r="C41" s="18"/>
      <c r="D41" s="18"/>
      <c r="E41" s="162">
        <v>353677.65131532296</v>
      </c>
      <c r="F41" s="20" t="s">
        <v>25</v>
      </c>
      <c r="G41" s="51"/>
      <c r="H41" s="51"/>
      <c r="I41" s="18"/>
      <c r="J41" s="18"/>
      <c r="K41" s="30"/>
      <c r="L41" s="18"/>
      <c r="M41" s="19"/>
      <c r="O41" s="132"/>
      <c r="P41" s="49"/>
      <c r="Q41" s="49"/>
      <c r="R41" s="49"/>
      <c r="S41" s="18"/>
      <c r="T41" s="18"/>
      <c r="U41" s="63"/>
      <c r="V41" s="51"/>
      <c r="W41" s="18"/>
      <c r="X41" s="18"/>
      <c r="Y41" s="18"/>
    </row>
    <row r="42" spans="1:25" s="20" customFormat="1" ht="11.25" x14ac:dyDescent="0.2">
      <c r="A42" s="61"/>
      <c r="B42" s="51" t="s">
        <v>70</v>
      </c>
      <c r="C42" s="18"/>
      <c r="D42" s="18"/>
      <c r="E42" s="163">
        <v>1.7710750537581456E-2</v>
      </c>
      <c r="F42" s="20" t="s">
        <v>25</v>
      </c>
      <c r="G42" s="51"/>
      <c r="H42" s="51"/>
      <c r="I42" s="18"/>
      <c r="J42" s="64"/>
      <c r="K42" s="30"/>
      <c r="L42" s="18"/>
      <c r="M42" s="7"/>
      <c r="O42" s="132"/>
      <c r="P42" s="65"/>
      <c r="Q42" s="65"/>
      <c r="R42" s="65"/>
      <c r="S42" s="18"/>
      <c r="T42" s="18"/>
      <c r="U42" s="18"/>
      <c r="V42" s="51"/>
      <c r="W42" s="18"/>
      <c r="X42" s="18"/>
      <c r="Y42" s="18"/>
    </row>
    <row r="43" spans="1:25" s="20" customFormat="1" ht="11.25" x14ac:dyDescent="0.2">
      <c r="A43" s="61"/>
      <c r="B43" s="115"/>
      <c r="C43" s="115"/>
      <c r="D43" s="115"/>
      <c r="E43" s="115"/>
      <c r="F43" s="116"/>
      <c r="G43" s="117"/>
      <c r="H43" s="117"/>
      <c r="I43" s="115"/>
      <c r="J43" s="115"/>
      <c r="K43" s="30"/>
      <c r="L43" s="18"/>
      <c r="M43" s="7" t="str">
        <f>[1]PSEUDO_COMPONENTS!I3</f>
        <v/>
      </c>
      <c r="O43" s="132"/>
      <c r="P43" s="65"/>
      <c r="Q43" s="65"/>
      <c r="R43" s="65"/>
      <c r="S43" s="18"/>
      <c r="T43" s="51"/>
      <c r="U43" s="58"/>
      <c r="V43" s="51"/>
      <c r="W43" s="18"/>
      <c r="X43" s="18"/>
      <c r="Y43" s="18"/>
    </row>
    <row r="44" spans="1:25" s="20" customFormat="1" ht="11.25" x14ac:dyDescent="0.2">
      <c r="A44" s="61"/>
      <c r="B44" s="115"/>
      <c r="C44" s="115"/>
      <c r="D44" s="115"/>
      <c r="E44" s="115"/>
      <c r="F44" s="115"/>
      <c r="G44" s="115"/>
      <c r="H44" s="115"/>
      <c r="I44" s="115"/>
      <c r="J44" s="118"/>
      <c r="K44" s="30"/>
      <c r="L44" s="18"/>
      <c r="M44" s="7" t="str">
        <f>[1]PSEUDO_COMPONENTS!I4</f>
        <v/>
      </c>
      <c r="O44" s="133"/>
      <c r="P44" s="65"/>
      <c r="Q44" s="65"/>
      <c r="R44" s="65"/>
      <c r="S44" s="18"/>
      <c r="T44" s="18"/>
      <c r="U44" s="18"/>
      <c r="V44" s="51"/>
      <c r="W44" s="18"/>
      <c r="X44" s="18"/>
      <c r="Y44" s="18"/>
    </row>
    <row r="45" spans="1:25" s="20" customFormat="1" ht="11.25" x14ac:dyDescent="0.2">
      <c r="A45" s="28"/>
      <c r="B45" s="119"/>
      <c r="C45" s="115"/>
      <c r="D45" s="115"/>
      <c r="E45" s="115"/>
      <c r="F45" s="115"/>
      <c r="G45" s="120"/>
      <c r="H45" s="117"/>
      <c r="I45" s="115"/>
      <c r="J45" s="118"/>
      <c r="K45" s="30"/>
      <c r="L45" s="60"/>
      <c r="M45" s="7" t="str">
        <f>[1]PSEUDO_COMPONENTS!I5</f>
        <v/>
      </c>
      <c r="O45" s="134"/>
      <c r="P45" s="65"/>
      <c r="Q45" s="65"/>
      <c r="R45" s="65"/>
      <c r="S45" s="18"/>
      <c r="T45" s="18"/>
      <c r="U45" s="67"/>
      <c r="V45" s="51"/>
      <c r="W45" s="18"/>
      <c r="X45" s="66"/>
      <c r="Y45" s="18"/>
    </row>
    <row r="46" spans="1:25" s="20" customFormat="1" ht="11.25" x14ac:dyDescent="0.2">
      <c r="A46" s="28"/>
      <c r="B46" s="119" t="s">
        <v>66</v>
      </c>
      <c r="C46" s="115"/>
      <c r="D46" s="115"/>
      <c r="E46" s="115"/>
      <c r="F46" s="116"/>
      <c r="G46" s="115"/>
      <c r="H46" s="117"/>
      <c r="I46" s="115"/>
      <c r="J46" s="115"/>
      <c r="K46" s="30"/>
      <c r="L46" s="18"/>
      <c r="M46" s="7" t="str">
        <f>[1]PSEUDO_COMPONENTS!I6</f>
        <v/>
      </c>
      <c r="O46" s="134"/>
      <c r="P46" s="65"/>
      <c r="Q46" s="65"/>
      <c r="R46" s="65"/>
      <c r="S46" s="18"/>
      <c r="T46" s="18"/>
      <c r="U46" s="67"/>
      <c r="V46" s="51"/>
      <c r="W46" s="18"/>
      <c r="X46" s="66"/>
      <c r="Y46" s="18"/>
    </row>
    <row r="47" spans="1:25" s="20" customFormat="1" ht="11.25" x14ac:dyDescent="0.2">
      <c r="A47" s="28"/>
      <c r="B47" s="121" t="s">
        <v>67</v>
      </c>
      <c r="C47" s="115"/>
      <c r="D47" s="115"/>
      <c r="E47" s="115"/>
      <c r="F47" s="122"/>
      <c r="G47" s="117"/>
      <c r="H47" s="116"/>
      <c r="I47" s="123"/>
      <c r="J47" s="117"/>
      <c r="K47" s="30"/>
      <c r="L47" s="18"/>
      <c r="M47" s="7" t="str">
        <f>[1]PSEUDO_COMPONENTS!I7</f>
        <v/>
      </c>
      <c r="O47" s="134"/>
      <c r="P47" s="65"/>
      <c r="Q47" s="65"/>
      <c r="R47" s="65"/>
      <c r="S47" s="18"/>
      <c r="T47" s="18"/>
      <c r="U47" s="18"/>
      <c r="V47" s="51"/>
      <c r="W47" s="18"/>
      <c r="X47" s="18"/>
      <c r="Y47" s="18"/>
    </row>
    <row r="48" spans="1:25" s="20" customFormat="1" ht="11.25" x14ac:dyDescent="0.2">
      <c r="A48" s="28"/>
      <c r="B48" s="121" t="s">
        <v>73</v>
      </c>
      <c r="C48" s="119"/>
      <c r="D48" s="119"/>
      <c r="E48" s="119"/>
      <c r="F48" s="119"/>
      <c r="G48" s="124"/>
      <c r="H48" s="115"/>
      <c r="I48" s="125"/>
      <c r="J48" s="115"/>
      <c r="K48" s="30"/>
      <c r="L48" s="18"/>
      <c r="M48" s="7" t="str">
        <f>[1]PSEUDO_COMPONENTS!I8</f>
        <v/>
      </c>
      <c r="O48" s="134"/>
      <c r="P48" s="65"/>
      <c r="Q48" s="65"/>
      <c r="R48" s="65"/>
      <c r="S48" s="18"/>
      <c r="T48" s="51"/>
      <c r="U48" s="18"/>
      <c r="V48" s="18"/>
      <c r="W48" s="18"/>
      <c r="X48" s="18"/>
      <c r="Y48" s="18"/>
    </row>
    <row r="49" spans="1:25" s="20" customFormat="1" ht="11.25" x14ac:dyDescent="0.2">
      <c r="A49" s="28"/>
      <c r="B49" s="115" t="s">
        <v>74</v>
      </c>
      <c r="C49" s="115"/>
      <c r="D49" s="115"/>
      <c r="E49" s="115"/>
      <c r="F49" s="115"/>
      <c r="G49" s="115"/>
      <c r="H49" s="115"/>
      <c r="I49" s="115"/>
      <c r="J49" s="115"/>
      <c r="K49" s="30"/>
      <c r="L49" s="18"/>
      <c r="M49" s="7" t="str">
        <f>[1]PSEUDO_COMPONENTS!I9</f>
        <v/>
      </c>
      <c r="O49" s="134"/>
      <c r="P49" s="65"/>
      <c r="Q49" s="65"/>
      <c r="R49" s="65"/>
      <c r="S49" s="18"/>
      <c r="T49" s="18"/>
      <c r="U49" s="52"/>
      <c r="V49" s="51"/>
      <c r="W49" s="52"/>
      <c r="X49" s="18"/>
      <c r="Y49" s="18"/>
    </row>
    <row r="50" spans="1:25" s="20" customFormat="1" ht="11.25" x14ac:dyDescent="0.2">
      <c r="A50" s="28"/>
      <c r="B50" s="115" t="s">
        <v>75</v>
      </c>
      <c r="C50" s="115"/>
      <c r="D50" s="115"/>
      <c r="E50" s="115"/>
      <c r="F50" s="115"/>
      <c r="G50" s="115"/>
      <c r="H50" s="126"/>
      <c r="I50" s="127"/>
      <c r="J50" s="115"/>
      <c r="K50" s="30"/>
      <c r="L50" s="18"/>
      <c r="M50" s="7" t="str">
        <f>[1]PSEUDO_COMPONENTS!I10</f>
        <v/>
      </c>
      <c r="O50" s="134"/>
      <c r="P50" s="69"/>
      <c r="Q50" s="69"/>
      <c r="R50" s="7"/>
      <c r="S50" s="48"/>
      <c r="T50" s="48"/>
      <c r="U50" s="145"/>
      <c r="V50" s="145"/>
      <c r="W50" s="145"/>
      <c r="X50" s="18"/>
      <c r="Y50" s="18"/>
    </row>
    <row r="51" spans="1:25" s="20" customFormat="1" ht="11.25" x14ac:dyDescent="0.2">
      <c r="A51" s="28"/>
      <c r="B51" s="115"/>
      <c r="C51" s="119"/>
      <c r="D51" s="116"/>
      <c r="E51" s="128"/>
      <c r="F51" s="128"/>
      <c r="G51" s="115"/>
      <c r="H51" s="115"/>
      <c r="I51" s="126"/>
      <c r="J51" s="115"/>
      <c r="K51" s="30"/>
      <c r="L51" s="18"/>
      <c r="M51" s="7" t="str">
        <f>[1]PSEUDO_COMPONENTS!I11</f>
        <v/>
      </c>
      <c r="O51" s="134"/>
      <c r="P51" s="51"/>
      <c r="Q51" s="18"/>
      <c r="R51" s="7"/>
      <c r="S51" s="7"/>
      <c r="T51" s="7"/>
      <c r="U51" s="146"/>
      <c r="V51" s="146"/>
      <c r="W51" s="146"/>
      <c r="X51" s="18"/>
      <c r="Y51" s="18"/>
    </row>
    <row r="52" spans="1:25" s="20" customFormat="1" ht="11.25" x14ac:dyDescent="0.2">
      <c r="A52" s="28"/>
      <c r="B52" s="115"/>
      <c r="C52" s="115"/>
      <c r="D52" s="116"/>
      <c r="E52" s="128"/>
      <c r="F52" s="122"/>
      <c r="G52" s="117"/>
      <c r="H52" s="117"/>
      <c r="I52" s="125"/>
      <c r="J52" s="117"/>
      <c r="K52" s="56"/>
      <c r="L52" s="18"/>
      <c r="M52" s="7" t="str">
        <f>[1]PSEUDO_COMPONENTS!I12</f>
        <v/>
      </c>
      <c r="O52" s="131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s="20" customFormat="1" ht="11.25" x14ac:dyDescent="0.2">
      <c r="A53" s="28"/>
      <c r="B53" s="115"/>
      <c r="C53" s="119"/>
      <c r="D53" s="116"/>
      <c r="E53" s="128"/>
      <c r="F53" s="123"/>
      <c r="G53" s="117"/>
      <c r="H53" s="115"/>
      <c r="I53" s="129"/>
      <c r="J53" s="117"/>
      <c r="K53" s="56"/>
      <c r="L53" s="18"/>
      <c r="M53" s="7" t="str">
        <f>[1]PSEUDO_COMPONENTS!I13</f>
        <v/>
      </c>
      <c r="O53" s="131"/>
      <c r="P53" s="36"/>
      <c r="Q53" s="36"/>
      <c r="R53" s="36"/>
      <c r="S53" s="36"/>
      <c r="T53" s="36"/>
      <c r="U53" s="68"/>
      <c r="V53" s="18"/>
      <c r="W53" s="18"/>
      <c r="X53" s="70"/>
      <c r="Y53" s="51"/>
    </row>
    <row r="54" spans="1:25" s="20" customFormat="1" ht="11.25" x14ac:dyDescent="0.2">
      <c r="A54" s="28"/>
      <c r="B54" s="115"/>
      <c r="C54" s="115"/>
      <c r="D54" s="115"/>
      <c r="E54" s="116"/>
      <c r="F54" s="122"/>
      <c r="G54" s="117"/>
      <c r="H54" s="115"/>
      <c r="I54" s="122"/>
      <c r="J54" s="117"/>
      <c r="K54" s="56"/>
      <c r="L54" s="18"/>
      <c r="M54" s="7" t="str">
        <f>[1]PSEUDO_COMPONENTS!I14</f>
        <v/>
      </c>
      <c r="O54" s="131"/>
      <c r="P54" s="36"/>
      <c r="Q54" s="36"/>
      <c r="R54" s="36"/>
      <c r="S54" s="36"/>
      <c r="T54" s="36"/>
      <c r="U54" s="68"/>
      <c r="V54" s="18"/>
      <c r="W54" s="18"/>
      <c r="X54" s="70"/>
      <c r="Y54" s="51"/>
    </row>
    <row r="55" spans="1:25" s="20" customFormat="1" ht="11.25" x14ac:dyDescent="0.2">
      <c r="A55" s="28"/>
      <c r="B55" s="115"/>
      <c r="C55" s="115"/>
      <c r="D55" s="115"/>
      <c r="E55" s="115"/>
      <c r="F55" s="115"/>
      <c r="G55" s="115"/>
      <c r="H55" s="115"/>
      <c r="I55" s="115"/>
      <c r="J55" s="117"/>
      <c r="K55" s="56"/>
      <c r="L55" s="18"/>
      <c r="M55" s="7" t="str">
        <f>[1]PSEUDO_COMPONENTS!I15</f>
        <v/>
      </c>
      <c r="O55" s="131"/>
      <c r="P55" s="36"/>
      <c r="Q55" s="36"/>
      <c r="R55" s="36"/>
      <c r="S55" s="36"/>
      <c r="T55" s="36"/>
      <c r="U55" s="68"/>
      <c r="V55" s="18"/>
      <c r="W55" s="18"/>
      <c r="X55" s="70"/>
      <c r="Y55" s="51"/>
    </row>
    <row r="56" spans="1:25" s="20" customFormat="1" ht="11.25" x14ac:dyDescent="0.2">
      <c r="A56" s="28"/>
      <c r="B56" s="119"/>
      <c r="C56" s="115"/>
      <c r="D56" s="115"/>
      <c r="E56" s="115"/>
      <c r="F56" s="115"/>
      <c r="G56" s="115"/>
      <c r="H56" s="115"/>
      <c r="I56" s="115"/>
      <c r="J56" s="117"/>
      <c r="K56" s="56"/>
      <c r="L56" s="18"/>
      <c r="M56" s="7" t="str">
        <f>[1]PSEUDO_COMPONENTS!I16</f>
        <v/>
      </c>
      <c r="O56" s="131"/>
      <c r="P56" s="36"/>
      <c r="Q56" s="36"/>
      <c r="R56" s="36"/>
      <c r="S56" s="36"/>
      <c r="T56" s="36"/>
      <c r="U56" s="68"/>
      <c r="V56" s="18"/>
      <c r="W56" s="18"/>
      <c r="X56" s="70"/>
      <c r="Y56" s="51"/>
    </row>
    <row r="57" spans="1:25" s="20" customFormat="1" ht="11.25" x14ac:dyDescent="0.2">
      <c r="A57" s="28"/>
      <c r="B57" s="115"/>
      <c r="C57" s="115"/>
      <c r="D57" s="115"/>
      <c r="E57" s="115"/>
      <c r="F57" s="130"/>
      <c r="G57" s="115"/>
      <c r="H57" s="115"/>
      <c r="I57" s="115"/>
      <c r="J57" s="117"/>
      <c r="K57" s="56"/>
      <c r="L57" s="71"/>
      <c r="M57" s="7" t="str">
        <f>[1]PSEUDO_COMPONENTS!I17</f>
        <v/>
      </c>
      <c r="O57" s="131"/>
      <c r="P57" s="36"/>
      <c r="Q57" s="36"/>
      <c r="R57" s="36"/>
      <c r="S57" s="36"/>
      <c r="T57" s="36"/>
      <c r="U57" s="68"/>
      <c r="V57" s="18"/>
      <c r="W57" s="18"/>
      <c r="X57" s="70"/>
      <c r="Y57" s="51"/>
    </row>
    <row r="58" spans="1:25" s="20" customFormat="1" ht="11.25" x14ac:dyDescent="0.2">
      <c r="A58" s="28"/>
      <c r="B58" s="18"/>
      <c r="C58" s="18"/>
      <c r="D58" s="18"/>
      <c r="E58" s="18"/>
      <c r="G58" s="18"/>
      <c r="H58" s="18"/>
      <c r="I58" s="18"/>
      <c r="J58" s="18"/>
      <c r="K58" s="30"/>
      <c r="L58" s="72"/>
      <c r="M58" s="7" t="str">
        <f>[1]PSEUDO_COMPONENTS!I18</f>
        <v/>
      </c>
      <c r="O58" s="131"/>
      <c r="P58" s="36"/>
      <c r="Q58" s="36"/>
      <c r="R58" s="36"/>
      <c r="S58" s="36"/>
      <c r="T58" s="36"/>
      <c r="U58" s="68"/>
      <c r="V58" s="18"/>
      <c r="W58" s="18"/>
      <c r="X58" s="70"/>
      <c r="Y58" s="51"/>
    </row>
    <row r="59" spans="1:25" s="20" customFormat="1" ht="11.25" x14ac:dyDescent="0.2">
      <c r="A59" s="28"/>
      <c r="B59" s="18"/>
      <c r="C59" s="18"/>
      <c r="D59" s="18"/>
      <c r="E59" s="18"/>
      <c r="G59" s="18"/>
      <c r="H59" s="18"/>
      <c r="I59" s="18"/>
      <c r="J59" s="18"/>
      <c r="K59" s="30"/>
      <c r="L59" s="72"/>
      <c r="M59" s="7" t="str">
        <f>[1]PSEUDO_COMPONENTS!I19</f>
        <v/>
      </c>
      <c r="O59" s="131"/>
      <c r="P59" s="36"/>
      <c r="Q59" s="36"/>
      <c r="R59" s="36"/>
      <c r="S59" s="36"/>
      <c r="T59" s="36"/>
      <c r="U59" s="68"/>
      <c r="V59" s="18"/>
      <c r="W59" s="18"/>
      <c r="X59" s="70"/>
      <c r="Y59" s="51"/>
    </row>
    <row r="60" spans="1:25" s="20" customFormat="1" ht="11.25" x14ac:dyDescent="0.2">
      <c r="A60" s="28"/>
      <c r="B60" s="73"/>
      <c r="C60" s="18"/>
      <c r="D60" s="18"/>
      <c r="E60" s="18"/>
      <c r="G60" s="18"/>
      <c r="H60" s="18"/>
      <c r="I60" s="18"/>
      <c r="J60" s="18"/>
      <c r="K60" s="30"/>
      <c r="L60" s="72"/>
      <c r="M60" s="7"/>
      <c r="N60" s="131"/>
      <c r="O60" s="55"/>
      <c r="P60" s="36"/>
      <c r="Q60" s="36"/>
      <c r="R60" s="36"/>
      <c r="S60" s="36"/>
      <c r="T60" s="36"/>
      <c r="U60" s="68"/>
      <c r="V60" s="18"/>
      <c r="W60" s="18"/>
      <c r="X60" s="70"/>
      <c r="Y60" s="51"/>
    </row>
    <row r="61" spans="1:25" s="20" customFormat="1" ht="11.25" x14ac:dyDescent="0.2">
      <c r="A61" s="28"/>
      <c r="B61" s="73"/>
      <c r="C61" s="18"/>
      <c r="D61" s="18"/>
      <c r="E61" s="18"/>
      <c r="G61" s="18"/>
      <c r="H61" s="18"/>
      <c r="I61" s="18"/>
      <c r="J61" s="18"/>
      <c r="K61" s="30"/>
      <c r="L61" s="72"/>
      <c r="M61" s="7"/>
      <c r="N61" s="131"/>
      <c r="O61" s="55"/>
      <c r="P61" s="36"/>
      <c r="Q61" s="36"/>
      <c r="R61" s="36"/>
      <c r="S61" s="36"/>
      <c r="T61" s="36"/>
      <c r="U61" s="68"/>
      <c r="V61" s="18"/>
      <c r="W61" s="18"/>
      <c r="X61" s="70"/>
      <c r="Y61" s="51"/>
    </row>
    <row r="62" spans="1:25" s="20" customFormat="1" ht="11.25" x14ac:dyDescent="0.2">
      <c r="A62" s="28"/>
      <c r="B62" s="73"/>
      <c r="C62" s="18"/>
      <c r="D62" s="18"/>
      <c r="E62" s="18"/>
      <c r="G62" s="18"/>
      <c r="H62" s="18"/>
      <c r="I62" s="18"/>
      <c r="J62" s="18"/>
      <c r="K62" s="30"/>
      <c r="L62" s="72"/>
      <c r="M62" s="7"/>
      <c r="N62" s="131"/>
      <c r="O62" s="55"/>
      <c r="P62" s="36"/>
      <c r="Q62" s="36"/>
      <c r="R62" s="36"/>
      <c r="S62" s="36"/>
      <c r="T62" s="36"/>
      <c r="U62" s="68"/>
      <c r="V62" s="18"/>
      <c r="W62" s="18"/>
      <c r="X62" s="70"/>
      <c r="Y62" s="51"/>
    </row>
    <row r="63" spans="1:25" s="20" customFormat="1" ht="11.25" x14ac:dyDescent="0.2">
      <c r="A63" s="28"/>
      <c r="B63" s="73"/>
      <c r="C63" s="18"/>
      <c r="D63" s="18"/>
      <c r="E63" s="18"/>
      <c r="G63" s="18"/>
      <c r="H63" s="18"/>
      <c r="I63" s="18"/>
      <c r="J63" s="18"/>
      <c r="K63" s="30"/>
      <c r="L63" s="72"/>
      <c r="M63" s="7"/>
      <c r="N63" s="131"/>
      <c r="O63" s="55"/>
      <c r="P63" s="36"/>
      <c r="Q63" s="36"/>
      <c r="R63" s="36"/>
      <c r="S63" s="36"/>
      <c r="T63" s="36"/>
      <c r="U63" s="68"/>
      <c r="V63" s="18"/>
      <c r="W63" s="18"/>
      <c r="X63" s="70"/>
      <c r="Y63" s="51"/>
    </row>
    <row r="64" spans="1:25" s="20" customFormat="1" ht="11.25" x14ac:dyDescent="0.2">
      <c r="A64" s="28"/>
      <c r="B64" s="73"/>
      <c r="C64" s="18"/>
      <c r="D64" s="18"/>
      <c r="E64" s="18"/>
      <c r="G64" s="18"/>
      <c r="H64" s="18"/>
      <c r="I64" s="18"/>
      <c r="J64" s="18"/>
      <c r="K64" s="30"/>
      <c r="L64" s="72"/>
      <c r="M64" s="7"/>
      <c r="N64" s="131"/>
      <c r="O64" s="55"/>
      <c r="P64" s="36"/>
      <c r="Q64" s="36"/>
      <c r="R64" s="36"/>
      <c r="S64" s="36"/>
      <c r="T64" s="36"/>
      <c r="U64" s="68"/>
      <c r="V64" s="18"/>
      <c r="W64" s="18"/>
      <c r="X64" s="70"/>
      <c r="Y64" s="51"/>
    </row>
    <row r="65" spans="1:25" s="20" customFormat="1" ht="11.25" x14ac:dyDescent="0.2">
      <c r="A65" s="110"/>
      <c r="B65" s="111"/>
      <c r="C65" s="111"/>
      <c r="D65" s="111"/>
      <c r="E65" s="111"/>
      <c r="F65" s="111"/>
      <c r="G65" s="111"/>
      <c r="H65" s="112"/>
      <c r="I65" s="111"/>
      <c r="J65" s="111"/>
      <c r="K65" s="113"/>
      <c r="L65" s="72"/>
      <c r="M65" s="72"/>
      <c r="N65" s="74"/>
      <c r="O65" s="55"/>
      <c r="P65" s="36"/>
      <c r="Q65" s="36"/>
      <c r="R65" s="36"/>
      <c r="S65" s="36"/>
      <c r="T65" s="36"/>
      <c r="U65" s="68"/>
      <c r="V65" s="18"/>
      <c r="W65" s="18"/>
      <c r="X65" s="70"/>
      <c r="Y65" s="51"/>
    </row>
    <row r="66" spans="1:25" s="76" customFormat="1" ht="11.25" x14ac:dyDescent="0.2">
      <c r="A66" s="77"/>
      <c r="B66" s="78"/>
      <c r="C66" s="78"/>
      <c r="D66" s="78"/>
      <c r="E66" s="78"/>
      <c r="F66" s="78"/>
      <c r="G66" s="78"/>
      <c r="H66" s="78"/>
      <c r="I66" s="78"/>
      <c r="J66" s="78"/>
      <c r="K66" s="79"/>
      <c r="L66" s="80"/>
      <c r="M66" s="80"/>
      <c r="N66" s="80"/>
      <c r="O66" s="80"/>
      <c r="P66" s="80"/>
      <c r="Q66" s="80"/>
      <c r="R66" s="80"/>
      <c r="S66" s="80"/>
      <c r="T66" s="80"/>
    </row>
    <row r="67" spans="1:25" s="20" customFormat="1" ht="11.25" x14ac:dyDescent="0.2">
      <c r="A67" s="77"/>
      <c r="C67" s="81"/>
      <c r="D67" s="82"/>
      <c r="E67" s="81"/>
      <c r="F67" s="81"/>
      <c r="G67" s="81"/>
      <c r="H67" s="81"/>
      <c r="I67" s="81"/>
      <c r="J67" s="81"/>
      <c r="K67" s="79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77"/>
      <c r="B68" s="81"/>
      <c r="C68" s="81"/>
      <c r="D68" s="81"/>
      <c r="E68" s="81"/>
      <c r="F68" s="81"/>
      <c r="G68" s="81"/>
      <c r="H68" s="81"/>
      <c r="I68" s="81"/>
      <c r="J68" s="81"/>
      <c r="K68" s="79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77"/>
      <c r="C69" s="81"/>
      <c r="D69" s="81"/>
      <c r="E69" s="81"/>
      <c r="F69" s="83"/>
      <c r="G69" s="81"/>
      <c r="H69" s="81"/>
      <c r="I69" s="81"/>
      <c r="J69" s="81"/>
      <c r="K69" s="79"/>
      <c r="L69" s="18"/>
      <c r="M69" s="18"/>
      <c r="N69" s="18"/>
      <c r="O69" s="84"/>
      <c r="P69" s="18"/>
      <c r="Q69" s="18"/>
      <c r="R69" s="18"/>
      <c r="S69" s="18"/>
      <c r="T69" s="18"/>
    </row>
    <row r="70" spans="1:25" s="20" customFormat="1" ht="11.25" x14ac:dyDescent="0.2">
      <c r="A70" s="77"/>
      <c r="B70" s="81"/>
      <c r="C70" s="81"/>
      <c r="D70" s="81"/>
      <c r="E70" s="81"/>
      <c r="F70" s="81"/>
      <c r="G70" s="81"/>
      <c r="H70" s="81"/>
      <c r="I70" s="81"/>
      <c r="J70" s="81"/>
      <c r="K70" s="79"/>
      <c r="L70" s="18"/>
      <c r="M70" s="18"/>
      <c r="N70" s="18"/>
      <c r="O70" s="84"/>
      <c r="P70" s="18"/>
      <c r="Q70" s="18"/>
      <c r="R70" s="18"/>
      <c r="S70" s="18"/>
      <c r="T70" s="18"/>
    </row>
    <row r="71" spans="1:25" s="20" customFormat="1" ht="11.25" x14ac:dyDescent="0.2">
      <c r="A71" s="85"/>
      <c r="B71" s="81"/>
      <c r="C71" s="81"/>
      <c r="D71" s="7"/>
      <c r="E71" s="81"/>
      <c r="F71" s="86"/>
      <c r="G71" s="18"/>
      <c r="H71" s="18"/>
      <c r="I71" s="18"/>
      <c r="J71" s="81"/>
      <c r="K71" s="87"/>
      <c r="L71" s="18"/>
      <c r="M71" s="18"/>
      <c r="N71" s="18"/>
      <c r="O71" s="84"/>
      <c r="P71" s="18"/>
      <c r="Q71" s="18"/>
      <c r="R71" s="18"/>
      <c r="S71" s="18"/>
      <c r="T71" s="18"/>
    </row>
    <row r="72" spans="1:25" s="20" customFormat="1" ht="11.25" x14ac:dyDescent="0.2">
      <c r="A72" s="85"/>
      <c r="B72" s="81"/>
      <c r="C72" s="81"/>
      <c r="D72" s="7"/>
      <c r="E72" s="81"/>
      <c r="F72" s="86"/>
      <c r="G72" s="18"/>
      <c r="H72" s="18"/>
      <c r="I72" s="18"/>
      <c r="J72" s="81"/>
      <c r="K72" s="87"/>
      <c r="L72" s="18"/>
      <c r="M72" s="18"/>
      <c r="N72" s="18"/>
      <c r="O72" s="84"/>
      <c r="P72" s="18"/>
      <c r="Q72" s="18"/>
      <c r="R72" s="18"/>
      <c r="S72" s="18"/>
      <c r="T72" s="18"/>
    </row>
    <row r="73" spans="1:25" s="20" customFormat="1" ht="10.5" customHeight="1" x14ac:dyDescent="0.2">
      <c r="A73" s="85"/>
      <c r="B73" s="78"/>
      <c r="C73" s="18"/>
      <c r="D73" s="18"/>
      <c r="E73" s="18"/>
      <c r="F73" s="18"/>
      <c r="G73" s="18"/>
      <c r="H73" s="18"/>
      <c r="I73" s="18"/>
      <c r="J73" s="78"/>
      <c r="K73" s="79"/>
      <c r="L73" s="18"/>
      <c r="M73" s="18"/>
      <c r="N73" s="18"/>
      <c r="O73" s="84"/>
      <c r="P73" s="18"/>
      <c r="Q73" s="18"/>
      <c r="R73" s="18"/>
      <c r="S73" s="18"/>
      <c r="T73" s="18"/>
    </row>
    <row r="74" spans="1:25" s="20" customFormat="1" ht="11.25" x14ac:dyDescent="0.2">
      <c r="A74" s="85"/>
      <c r="B74" s="78"/>
      <c r="C74" s="83"/>
      <c r="D74" s="83"/>
      <c r="E74" s="18"/>
      <c r="F74" s="148"/>
      <c r="G74" s="148"/>
      <c r="H74" s="148"/>
      <c r="I74" s="148"/>
      <c r="J74" s="78"/>
      <c r="K74" s="79"/>
      <c r="L74" s="18"/>
      <c r="M74" s="18"/>
      <c r="N74" s="18"/>
      <c r="O74" s="84"/>
      <c r="P74" s="18"/>
      <c r="Q74" s="18"/>
      <c r="R74" s="18"/>
      <c r="S74" s="18"/>
      <c r="T74" s="18"/>
    </row>
    <row r="75" spans="1:25" s="20" customFormat="1" ht="10.5" customHeight="1" x14ac:dyDescent="0.2">
      <c r="A75" s="85"/>
      <c r="B75" s="78"/>
      <c r="C75" s="83"/>
      <c r="D75" s="83"/>
      <c r="E75" s="18"/>
      <c r="F75" s="83"/>
      <c r="G75" s="83"/>
      <c r="H75" s="83"/>
      <c r="I75" s="83"/>
      <c r="J75" s="78"/>
      <c r="K75" s="79"/>
      <c r="L75" s="18"/>
      <c r="M75" s="18"/>
      <c r="N75" s="18"/>
      <c r="O75" s="84"/>
      <c r="P75" s="18"/>
      <c r="Q75" s="18"/>
      <c r="R75" s="18"/>
      <c r="S75" s="18"/>
      <c r="T75" s="18"/>
    </row>
    <row r="76" spans="1:25" s="20" customFormat="1" ht="11.25" x14ac:dyDescent="0.2">
      <c r="A76" s="85"/>
      <c r="B76" s="78"/>
      <c r="C76" s="7"/>
      <c r="D76" s="18"/>
      <c r="E76" s="18"/>
      <c r="F76" s="88"/>
      <c r="G76" s="88"/>
      <c r="H76" s="88"/>
      <c r="I76" s="88"/>
      <c r="J76" s="78"/>
      <c r="K76" s="79"/>
      <c r="L76" s="18"/>
      <c r="M76" s="18"/>
      <c r="N76" s="18"/>
      <c r="O76" s="84"/>
      <c r="P76" s="18"/>
      <c r="Q76" s="18"/>
      <c r="R76" s="18"/>
      <c r="S76" s="18"/>
      <c r="T76" s="18"/>
    </row>
    <row r="77" spans="1:25" s="20" customFormat="1" ht="11.25" x14ac:dyDescent="0.2">
      <c r="A77" s="85"/>
      <c r="B77" s="78"/>
      <c r="C77" s="7"/>
      <c r="D77" s="18"/>
      <c r="E77" s="18"/>
      <c r="F77" s="88"/>
      <c r="G77" s="88"/>
      <c r="H77" s="88"/>
      <c r="I77" s="88"/>
      <c r="J77" s="78"/>
      <c r="K77" s="79"/>
      <c r="L77" s="18"/>
      <c r="M77" s="18"/>
      <c r="N77" s="18"/>
      <c r="O77" s="84"/>
      <c r="P77" s="18"/>
      <c r="Q77" s="18"/>
      <c r="R77" s="18"/>
      <c r="S77" s="18"/>
      <c r="T77" s="18"/>
    </row>
    <row r="78" spans="1:25" s="20" customFormat="1" ht="11.25" x14ac:dyDescent="0.2">
      <c r="A78" s="85"/>
      <c r="B78" s="78"/>
      <c r="C78" s="7"/>
      <c r="D78" s="18"/>
      <c r="E78" s="18"/>
      <c r="F78" s="88"/>
      <c r="G78" s="88"/>
      <c r="H78" s="88"/>
      <c r="I78" s="88"/>
      <c r="J78" s="78"/>
      <c r="K78" s="79"/>
      <c r="L78" s="18"/>
      <c r="M78" s="18"/>
      <c r="N78" s="18"/>
      <c r="O78" s="84"/>
      <c r="P78" s="18"/>
      <c r="Q78" s="18"/>
      <c r="R78" s="18"/>
      <c r="S78" s="18"/>
      <c r="T78" s="18"/>
    </row>
    <row r="79" spans="1:25" s="20" customFormat="1" ht="11.25" x14ac:dyDescent="0.2">
      <c r="A79" s="85"/>
      <c r="B79" s="78"/>
      <c r="C79" s="7"/>
      <c r="D79" s="18"/>
      <c r="E79" s="18"/>
      <c r="F79" s="88"/>
      <c r="G79" s="88"/>
      <c r="H79" s="88"/>
      <c r="I79" s="88"/>
      <c r="J79" s="78"/>
      <c r="K79" s="79"/>
      <c r="L79" s="18"/>
      <c r="M79" s="18"/>
      <c r="N79" s="18"/>
      <c r="O79" s="84"/>
      <c r="P79" s="18"/>
      <c r="Q79" s="18"/>
      <c r="R79" s="18"/>
      <c r="S79" s="18"/>
      <c r="T79" s="18"/>
    </row>
    <row r="80" spans="1:25" s="20" customFormat="1" ht="11.25" x14ac:dyDescent="0.2">
      <c r="A80" s="85"/>
      <c r="B80" s="78"/>
      <c r="C80" s="7"/>
      <c r="D80" s="18"/>
      <c r="E80" s="18"/>
      <c r="F80" s="88"/>
      <c r="G80" s="88"/>
      <c r="H80" s="88"/>
      <c r="I80" s="88"/>
      <c r="J80" s="78"/>
      <c r="K80" s="79"/>
      <c r="L80" s="18"/>
      <c r="M80" s="18"/>
      <c r="N80" s="18"/>
      <c r="O80" s="84"/>
      <c r="P80" s="18"/>
      <c r="Q80" s="18"/>
      <c r="R80" s="18"/>
      <c r="S80" s="18"/>
      <c r="T80" s="18"/>
    </row>
    <row r="81" spans="1:20" s="20" customFormat="1" ht="11.25" x14ac:dyDescent="0.2">
      <c r="A81" s="85"/>
      <c r="B81" s="78"/>
      <c r="C81" s="7"/>
      <c r="D81" s="18"/>
      <c r="E81" s="18"/>
      <c r="F81" s="88"/>
      <c r="G81" s="88"/>
      <c r="H81" s="88"/>
      <c r="I81" s="88"/>
      <c r="J81" s="78"/>
      <c r="K81" s="79"/>
      <c r="L81" s="18"/>
      <c r="M81" s="18"/>
      <c r="N81" s="18"/>
      <c r="O81" s="84"/>
      <c r="P81" s="18"/>
      <c r="Q81" s="18"/>
      <c r="R81" s="18"/>
      <c r="S81" s="18"/>
      <c r="T81" s="18"/>
    </row>
    <row r="82" spans="1:20" s="20" customFormat="1" ht="11.25" x14ac:dyDescent="0.2">
      <c r="A82" s="85"/>
      <c r="B82" s="78"/>
      <c r="C82" s="7"/>
      <c r="D82" s="18"/>
      <c r="E82" s="18"/>
      <c r="F82" s="88"/>
      <c r="G82" s="88"/>
      <c r="H82" s="88"/>
      <c r="I82" s="88"/>
      <c r="J82" s="78"/>
      <c r="K82" s="79"/>
      <c r="L82" s="18"/>
      <c r="M82" s="18"/>
      <c r="N82" s="18"/>
      <c r="O82" s="84"/>
      <c r="P82" s="18"/>
      <c r="Q82" s="18"/>
      <c r="R82" s="18"/>
      <c r="S82" s="18"/>
      <c r="T82" s="18"/>
    </row>
    <row r="83" spans="1:20" s="20" customFormat="1" ht="11.25" x14ac:dyDescent="0.2">
      <c r="A83" s="85"/>
      <c r="B83" s="78"/>
      <c r="C83" s="7"/>
      <c r="D83" s="18"/>
      <c r="E83" s="18"/>
      <c r="F83" s="88"/>
      <c r="G83" s="88"/>
      <c r="H83" s="88"/>
      <c r="I83" s="88"/>
      <c r="J83" s="78"/>
      <c r="K83" s="79"/>
      <c r="L83" s="18"/>
      <c r="M83" s="18"/>
      <c r="N83" s="18"/>
      <c r="O83" s="84"/>
      <c r="P83" s="18"/>
      <c r="Q83" s="18"/>
      <c r="R83" s="18"/>
      <c r="S83" s="18"/>
      <c r="T83" s="18"/>
    </row>
    <row r="84" spans="1:20" s="20" customFormat="1" ht="11.25" x14ac:dyDescent="0.2">
      <c r="A84" s="85"/>
      <c r="B84" s="78"/>
      <c r="C84" s="7"/>
      <c r="D84" s="18"/>
      <c r="E84" s="18"/>
      <c r="F84" s="88"/>
      <c r="G84" s="88"/>
      <c r="H84" s="88"/>
      <c r="I84" s="88"/>
      <c r="J84" s="78"/>
      <c r="K84" s="79"/>
      <c r="L84" s="18"/>
      <c r="M84" s="18"/>
      <c r="N84" s="18"/>
      <c r="O84" s="84"/>
      <c r="P84" s="18"/>
      <c r="Q84" s="18"/>
      <c r="R84" s="18"/>
      <c r="S84" s="18"/>
      <c r="T84" s="18"/>
    </row>
    <row r="85" spans="1:20" s="20" customFormat="1" ht="11.25" x14ac:dyDescent="0.2">
      <c r="A85" s="85"/>
      <c r="B85" s="78"/>
      <c r="C85" s="7"/>
      <c r="D85" s="18"/>
      <c r="E85" s="18"/>
      <c r="F85" s="88"/>
      <c r="G85" s="88"/>
      <c r="H85" s="88"/>
      <c r="I85" s="88"/>
      <c r="J85" s="78"/>
      <c r="K85" s="79"/>
      <c r="L85" s="18"/>
      <c r="M85" s="18"/>
      <c r="N85" s="18"/>
      <c r="O85" s="84"/>
      <c r="P85" s="18"/>
      <c r="Q85" s="18"/>
      <c r="R85" s="18"/>
      <c r="S85" s="18"/>
      <c r="T85" s="18"/>
    </row>
    <row r="86" spans="1:20" s="20" customFormat="1" ht="11.25" x14ac:dyDescent="0.2">
      <c r="A86" s="85"/>
      <c r="B86" s="78"/>
      <c r="C86" s="7"/>
      <c r="D86" s="18"/>
      <c r="E86" s="18"/>
      <c r="F86" s="88"/>
      <c r="G86" s="88"/>
      <c r="H86" s="88"/>
      <c r="I86" s="88"/>
      <c r="J86" s="78"/>
      <c r="K86" s="79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85"/>
      <c r="B87" s="78"/>
      <c r="C87" s="7"/>
      <c r="D87" s="18"/>
      <c r="E87" s="18"/>
      <c r="F87" s="88"/>
      <c r="G87" s="88"/>
      <c r="H87" s="88"/>
      <c r="I87" s="88"/>
      <c r="J87" s="78"/>
      <c r="K87" s="79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85"/>
      <c r="B88" s="78"/>
      <c r="C88" s="7"/>
      <c r="D88" s="18"/>
      <c r="E88" s="18"/>
      <c r="F88" s="88"/>
      <c r="G88" s="88"/>
      <c r="H88" s="88"/>
      <c r="I88" s="88"/>
      <c r="J88" s="78"/>
      <c r="K88" s="79"/>
      <c r="L88" s="18"/>
      <c r="M88" s="18"/>
      <c r="N88" s="18"/>
      <c r="O88" s="84"/>
      <c r="P88" s="18"/>
      <c r="Q88" s="18"/>
      <c r="R88" s="18"/>
      <c r="S88" s="18"/>
      <c r="T88" s="18"/>
    </row>
    <row r="89" spans="1:20" s="20" customFormat="1" ht="11.25" x14ac:dyDescent="0.2">
      <c r="A89" s="85"/>
      <c r="B89" s="78"/>
      <c r="C89" s="7"/>
      <c r="D89" s="18"/>
      <c r="E89" s="18"/>
      <c r="F89" s="88"/>
      <c r="G89" s="88"/>
      <c r="H89" s="88"/>
      <c r="I89" s="88"/>
      <c r="J89" s="78"/>
      <c r="K89" s="79"/>
      <c r="L89" s="18"/>
      <c r="M89" s="18"/>
      <c r="N89" s="18"/>
      <c r="O89" s="84"/>
      <c r="P89" s="18"/>
      <c r="Q89" s="18"/>
      <c r="R89" s="18"/>
      <c r="S89" s="18"/>
      <c r="T89" s="18"/>
    </row>
    <row r="90" spans="1:20" s="20" customFormat="1" ht="11.25" x14ac:dyDescent="0.2">
      <c r="A90" s="85"/>
      <c r="B90" s="78"/>
      <c r="C90" s="7"/>
      <c r="D90" s="7"/>
      <c r="E90" s="18"/>
      <c r="F90" s="88"/>
      <c r="G90" s="88"/>
      <c r="H90" s="88"/>
      <c r="I90" s="88"/>
      <c r="J90" s="78"/>
      <c r="K90" s="79"/>
      <c r="L90" s="18"/>
      <c r="M90" s="18"/>
      <c r="N90" s="18"/>
      <c r="O90" s="84"/>
      <c r="P90" s="18"/>
      <c r="Q90" s="18"/>
      <c r="R90" s="18"/>
      <c r="S90" s="18"/>
      <c r="T90" s="18"/>
    </row>
    <row r="91" spans="1:20" s="20" customFormat="1" ht="11.25" x14ac:dyDescent="0.2">
      <c r="A91" s="85"/>
      <c r="B91" s="78"/>
      <c r="C91" s="7"/>
      <c r="D91" s="18"/>
      <c r="E91" s="18"/>
      <c r="F91" s="88"/>
      <c r="G91" s="88"/>
      <c r="H91" s="88"/>
      <c r="I91" s="88"/>
      <c r="J91" s="78"/>
      <c r="K91" s="79"/>
      <c r="L91" s="18"/>
      <c r="M91" s="18"/>
      <c r="N91" s="18"/>
      <c r="O91" s="84"/>
      <c r="P91" s="18"/>
      <c r="Q91" s="18"/>
      <c r="R91" s="18"/>
      <c r="S91" s="18"/>
      <c r="T91" s="18"/>
    </row>
    <row r="92" spans="1:20" s="20" customFormat="1" ht="11.25" x14ac:dyDescent="0.2">
      <c r="A92" s="85"/>
      <c r="B92" s="78"/>
      <c r="C92" s="7"/>
      <c r="D92" s="18"/>
      <c r="E92" s="18"/>
      <c r="F92" s="89"/>
      <c r="G92" s="89"/>
      <c r="H92" s="89"/>
      <c r="I92" s="89"/>
      <c r="J92" s="78"/>
      <c r="K92" s="79"/>
      <c r="L92" s="18"/>
      <c r="M92" s="18"/>
      <c r="N92" s="18"/>
      <c r="O92" s="84"/>
      <c r="P92" s="18"/>
      <c r="Q92" s="18"/>
      <c r="R92" s="18"/>
      <c r="S92" s="18"/>
      <c r="T92" s="18"/>
    </row>
    <row r="93" spans="1:20" s="20" customFormat="1" ht="11.25" x14ac:dyDescent="0.2">
      <c r="A93" s="85"/>
      <c r="B93" s="78"/>
      <c r="C93" s="7"/>
      <c r="D93" s="18"/>
      <c r="E93" s="18"/>
      <c r="F93" s="89"/>
      <c r="G93" s="89"/>
      <c r="H93" s="89"/>
      <c r="I93" s="89"/>
      <c r="J93" s="78"/>
      <c r="K93" s="79"/>
      <c r="L93" s="18"/>
      <c r="M93" s="18"/>
      <c r="N93" s="18"/>
      <c r="O93" s="84"/>
      <c r="P93" s="18"/>
      <c r="Q93" s="18"/>
      <c r="R93" s="18"/>
      <c r="S93" s="18"/>
      <c r="T93" s="18"/>
    </row>
    <row r="94" spans="1:20" s="20" customFormat="1" ht="11.25" x14ac:dyDescent="0.2">
      <c r="A94" s="85"/>
      <c r="B94" s="78"/>
      <c r="C94" s="7"/>
      <c r="D94" s="7"/>
      <c r="E94" s="18"/>
      <c r="F94" s="88"/>
      <c r="G94" s="88"/>
      <c r="H94" s="88"/>
      <c r="I94" s="88"/>
      <c r="J94" s="78"/>
      <c r="K94" s="79"/>
      <c r="L94" s="18"/>
      <c r="M94" s="18"/>
      <c r="N94" s="18"/>
      <c r="O94" s="84"/>
      <c r="P94" s="18"/>
      <c r="Q94" s="18"/>
      <c r="R94" s="18"/>
      <c r="S94" s="18"/>
      <c r="T94" s="18"/>
    </row>
    <row r="95" spans="1:20" s="20" customFormat="1" ht="11.25" x14ac:dyDescent="0.2">
      <c r="A95" s="85"/>
      <c r="B95" s="78"/>
      <c r="C95" s="7"/>
      <c r="D95" s="7"/>
      <c r="E95" s="18"/>
      <c r="F95" s="88"/>
      <c r="G95" s="88"/>
      <c r="H95" s="88"/>
      <c r="I95" s="88"/>
      <c r="J95" s="78"/>
      <c r="K95" s="79"/>
      <c r="L95" s="18"/>
      <c r="M95" s="18"/>
      <c r="N95" s="18"/>
      <c r="O95" s="84"/>
      <c r="P95" s="18"/>
      <c r="Q95" s="18"/>
      <c r="R95" s="18"/>
      <c r="S95" s="18"/>
      <c r="T95" s="18"/>
    </row>
    <row r="96" spans="1:20" s="20" customFormat="1" ht="11.25" x14ac:dyDescent="0.2">
      <c r="A96" s="85"/>
      <c r="B96" s="78"/>
      <c r="C96" s="7"/>
      <c r="D96" s="18"/>
      <c r="E96" s="18"/>
      <c r="F96" s="89"/>
      <c r="G96" s="89"/>
      <c r="H96" s="89"/>
      <c r="I96" s="89"/>
      <c r="J96" s="78"/>
      <c r="K96" s="79"/>
      <c r="L96" s="18"/>
      <c r="M96" s="18"/>
      <c r="N96" s="18"/>
      <c r="O96" s="84"/>
      <c r="P96" s="18"/>
      <c r="Q96" s="18"/>
      <c r="R96" s="18"/>
      <c r="S96" s="18"/>
      <c r="T96" s="18"/>
    </row>
    <row r="97" spans="1:20" s="20" customFormat="1" ht="11.25" x14ac:dyDescent="0.2">
      <c r="A97" s="85"/>
      <c r="B97" s="78"/>
      <c r="C97" s="7"/>
      <c r="D97" s="18"/>
      <c r="E97" s="18"/>
      <c r="F97" s="89"/>
      <c r="G97" s="89"/>
      <c r="H97" s="89"/>
      <c r="I97" s="89"/>
      <c r="J97" s="78"/>
      <c r="K97" s="79"/>
      <c r="L97" s="18"/>
      <c r="M97" s="18"/>
      <c r="N97" s="18"/>
      <c r="O97" s="84"/>
      <c r="P97" s="18"/>
      <c r="Q97" s="18"/>
      <c r="R97" s="18"/>
      <c r="S97" s="18"/>
      <c r="T97" s="18"/>
    </row>
    <row r="98" spans="1:20" s="20" customFormat="1" ht="11.25" x14ac:dyDescent="0.2">
      <c r="A98" s="85"/>
      <c r="B98" s="78"/>
      <c r="C98" s="7"/>
      <c r="D98" s="18"/>
      <c r="E98" s="18"/>
      <c r="F98" s="89"/>
      <c r="G98" s="89"/>
      <c r="H98" s="89"/>
      <c r="I98" s="89"/>
      <c r="J98" s="78"/>
      <c r="K98" s="79"/>
      <c r="L98" s="18"/>
      <c r="M98" s="18"/>
      <c r="N98" s="18"/>
      <c r="O98" s="84"/>
      <c r="P98" s="18"/>
      <c r="Q98" s="18"/>
      <c r="R98" s="18"/>
      <c r="S98" s="18"/>
      <c r="T98" s="18"/>
    </row>
    <row r="99" spans="1:20" s="20" customFormat="1" ht="11.25" x14ac:dyDescent="0.2">
      <c r="A99" s="85"/>
      <c r="B99" s="18"/>
      <c r="C99" s="7"/>
      <c r="D99" s="18"/>
      <c r="E99" s="18"/>
      <c r="F99" s="89"/>
      <c r="G99" s="89"/>
      <c r="H99" s="89"/>
      <c r="I99" s="89"/>
      <c r="J99" s="18"/>
      <c r="K99" s="79"/>
      <c r="L99" s="18"/>
      <c r="M99" s="18"/>
      <c r="N99" s="18"/>
      <c r="O99" s="84"/>
      <c r="P99" s="18"/>
      <c r="Q99" s="18"/>
      <c r="R99" s="18"/>
      <c r="S99" s="18"/>
      <c r="T99" s="18"/>
    </row>
    <row r="100" spans="1:20" s="20" customFormat="1" ht="11.25" x14ac:dyDescent="0.2">
      <c r="A100" s="85"/>
      <c r="B100" s="18"/>
      <c r="C100" s="7"/>
      <c r="D100" s="18"/>
      <c r="E100" s="18"/>
      <c r="F100" s="89"/>
      <c r="G100" s="89"/>
      <c r="H100" s="89"/>
      <c r="I100" s="89"/>
      <c r="J100" s="18"/>
      <c r="K100" s="79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85"/>
      <c r="B101" s="18"/>
      <c r="C101" s="7"/>
      <c r="D101" s="18"/>
      <c r="E101" s="18"/>
      <c r="F101" s="89"/>
      <c r="G101" s="89"/>
      <c r="H101" s="88"/>
      <c r="I101" s="88"/>
      <c r="J101" s="18"/>
      <c r="K101" s="79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85"/>
      <c r="B102" s="18"/>
      <c r="C102" s="7"/>
      <c r="D102" s="18"/>
      <c r="E102" s="18"/>
      <c r="F102" s="65"/>
      <c r="G102" s="65"/>
      <c r="H102" s="65"/>
      <c r="I102" s="65"/>
      <c r="J102" s="18"/>
      <c r="K102" s="79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85"/>
      <c r="B103" s="18"/>
      <c r="C103" s="18"/>
      <c r="D103" s="18"/>
      <c r="E103" s="18"/>
      <c r="F103" s="18"/>
      <c r="G103" s="18"/>
      <c r="H103" s="18"/>
      <c r="I103" s="18"/>
      <c r="J103" s="18"/>
      <c r="K103" s="79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85"/>
      <c r="B104" s="18"/>
      <c r="C104" s="78"/>
      <c r="D104" s="18"/>
      <c r="E104" s="90"/>
      <c r="F104" s="91"/>
      <c r="G104" s="91"/>
      <c r="H104" s="91"/>
      <c r="I104" s="91"/>
      <c r="J104" s="18"/>
      <c r="K104" s="79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85"/>
      <c r="B105" s="18"/>
      <c r="C105" s="78"/>
      <c r="D105" s="18"/>
      <c r="E105" s="29"/>
      <c r="F105" s="92"/>
      <c r="G105" s="91"/>
      <c r="H105" s="91"/>
      <c r="I105" s="91"/>
      <c r="J105" s="18"/>
      <c r="K105" s="79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85"/>
      <c r="B106" s="18"/>
      <c r="C106" s="78"/>
      <c r="D106" s="18"/>
      <c r="E106" s="29"/>
      <c r="F106" s="93"/>
      <c r="G106" s="93"/>
      <c r="H106" s="93"/>
      <c r="I106" s="93"/>
      <c r="J106" s="18"/>
      <c r="K106" s="79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85"/>
      <c r="B107" s="18"/>
      <c r="C107" s="78"/>
      <c r="D107" s="18"/>
      <c r="E107" s="29"/>
      <c r="F107" s="94"/>
      <c r="G107" s="95"/>
      <c r="H107" s="95"/>
      <c r="I107" s="94"/>
      <c r="J107" s="18"/>
      <c r="K107" s="79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85"/>
      <c r="B108" s="18"/>
      <c r="C108" s="78"/>
      <c r="D108" s="18"/>
      <c r="E108" s="29"/>
      <c r="F108" s="94"/>
      <c r="G108" s="94"/>
      <c r="H108" s="94"/>
      <c r="I108" s="94"/>
      <c r="J108" s="18"/>
      <c r="K108" s="79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85"/>
      <c r="B109" s="18"/>
      <c r="C109" s="78"/>
      <c r="D109" s="18"/>
      <c r="E109" s="29"/>
      <c r="F109" s="94"/>
      <c r="G109" s="96"/>
      <c r="H109" s="96"/>
      <c r="I109" s="96"/>
      <c r="J109" s="18"/>
      <c r="K109" s="79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85"/>
      <c r="B110" s="18"/>
      <c r="C110" s="78"/>
      <c r="D110" s="18"/>
      <c r="E110" s="29"/>
      <c r="F110" s="94"/>
      <c r="G110" s="94"/>
      <c r="H110" s="94"/>
      <c r="I110" s="94"/>
      <c r="J110" s="18"/>
      <c r="K110" s="79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85"/>
      <c r="B111" s="18"/>
      <c r="C111" s="18"/>
      <c r="D111" s="18"/>
      <c r="E111" s="29"/>
      <c r="F111" s="92"/>
      <c r="G111" s="92"/>
      <c r="H111" s="92"/>
      <c r="I111" s="92"/>
      <c r="J111" s="18"/>
      <c r="K111" s="79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85"/>
      <c r="B112" s="18"/>
      <c r="C112" s="18"/>
      <c r="D112" s="18"/>
      <c r="E112" s="29"/>
      <c r="F112" s="92"/>
      <c r="G112" s="92"/>
      <c r="H112" s="92"/>
      <c r="I112" s="92"/>
      <c r="J112" s="18"/>
      <c r="K112" s="79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85"/>
      <c r="B113" s="78"/>
      <c r="C113" s="18"/>
      <c r="D113" s="18"/>
      <c r="E113" s="29"/>
      <c r="F113" s="92"/>
      <c r="G113" s="92"/>
      <c r="H113" s="92"/>
      <c r="I113" s="92"/>
      <c r="J113" s="78"/>
      <c r="K113" s="79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85"/>
      <c r="B114" s="78"/>
      <c r="C114" s="18"/>
      <c r="D114" s="18"/>
      <c r="E114" s="29"/>
      <c r="F114" s="94"/>
      <c r="G114" s="94"/>
      <c r="H114" s="94"/>
      <c r="I114" s="94"/>
      <c r="J114" s="78"/>
      <c r="K114" s="79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85"/>
      <c r="B115" s="78"/>
      <c r="C115" s="18"/>
      <c r="D115" s="18"/>
      <c r="E115" s="29"/>
      <c r="F115" s="94"/>
      <c r="G115" s="94"/>
      <c r="H115" s="94"/>
      <c r="I115" s="94"/>
      <c r="J115" s="78"/>
      <c r="K115" s="79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85"/>
      <c r="B116" s="78"/>
      <c r="C116" s="78"/>
      <c r="D116" s="78"/>
      <c r="E116" s="78"/>
      <c r="F116" s="78"/>
      <c r="G116" s="78"/>
      <c r="H116" s="78"/>
      <c r="I116" s="78"/>
      <c r="J116" s="78"/>
      <c r="K116" s="79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85"/>
      <c r="B117" s="78"/>
      <c r="C117" s="78"/>
      <c r="D117" s="78"/>
      <c r="E117" s="78"/>
      <c r="F117" s="78"/>
      <c r="G117" s="78"/>
      <c r="H117" s="78"/>
      <c r="I117" s="78"/>
      <c r="J117" s="78"/>
      <c r="K117" s="79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85"/>
      <c r="B118" s="78"/>
      <c r="C118" s="78"/>
      <c r="D118" s="78"/>
      <c r="E118" s="78"/>
      <c r="F118" s="78"/>
      <c r="G118" s="78"/>
      <c r="H118" s="78"/>
      <c r="I118" s="78"/>
      <c r="J118" s="78"/>
      <c r="K118" s="79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7"/>
      <c r="B119" s="98"/>
      <c r="C119" s="98"/>
      <c r="D119" s="98"/>
      <c r="E119" s="98"/>
      <c r="F119" s="98"/>
      <c r="G119" s="99"/>
      <c r="H119" s="98"/>
      <c r="I119" s="98"/>
      <c r="J119" s="98"/>
      <c r="K119" s="100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75"/>
      <c r="B120" s="101"/>
      <c r="C120" s="101"/>
      <c r="D120" s="101"/>
      <c r="E120" s="101"/>
      <c r="F120" s="101"/>
      <c r="G120" s="102"/>
      <c r="H120" s="101"/>
      <c r="I120" s="101"/>
      <c r="J120" s="101"/>
      <c r="K120" s="101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76" customFormat="1" ht="12" x14ac:dyDescent="0.2">
      <c r="A121" s="103"/>
      <c r="B121" s="34"/>
      <c r="C121" s="34"/>
      <c r="D121" s="34"/>
      <c r="E121" s="34"/>
      <c r="F121" s="34"/>
      <c r="G121" s="104"/>
      <c r="H121" s="34"/>
      <c r="I121" s="34"/>
      <c r="J121" s="34"/>
      <c r="K121" s="34"/>
      <c r="L121" s="80"/>
      <c r="M121" s="80"/>
      <c r="N121" s="80"/>
      <c r="O121" s="80"/>
      <c r="P121" s="80"/>
      <c r="Q121" s="80"/>
      <c r="R121" s="80"/>
      <c r="S121" s="80"/>
      <c r="T121" s="80"/>
    </row>
    <row r="122" spans="1:20" s="34" customFormat="1" ht="12.75" customHeight="1" x14ac:dyDescent="0.2">
      <c r="A122" s="103"/>
      <c r="G122" s="104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03"/>
      <c r="G123" s="104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03"/>
      <c r="G124" s="104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03"/>
      <c r="G125" s="104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03"/>
      <c r="G126" s="104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03"/>
      <c r="G127" s="104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03"/>
      <c r="G128" s="104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03"/>
      <c r="G129" s="104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03"/>
      <c r="G130" s="104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03"/>
      <c r="G131" s="104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03"/>
      <c r="G132" s="104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03"/>
      <c r="G133" s="104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03"/>
      <c r="G134" s="104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03"/>
      <c r="G135" s="104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03"/>
      <c r="G136" s="104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03"/>
      <c r="G137" s="104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03"/>
      <c r="G138" s="104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03"/>
      <c r="G139" s="104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03"/>
      <c r="G140" s="104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03"/>
      <c r="G141" s="104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03"/>
      <c r="G142" s="104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03"/>
      <c r="G143" s="104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03"/>
      <c r="G144" s="104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03"/>
      <c r="G145" s="104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05"/>
      <c r="B146" s="9"/>
      <c r="C146" s="9"/>
      <c r="D146" s="9"/>
      <c r="E146" s="9"/>
      <c r="F146" s="9"/>
      <c r="G146" s="106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15">
    <mergeCell ref="F74:I74"/>
    <mergeCell ref="E19:G19"/>
    <mergeCell ref="E20:G20"/>
    <mergeCell ref="A3:I3"/>
    <mergeCell ref="N3:P3"/>
    <mergeCell ref="N4:P4"/>
    <mergeCell ref="N5:P5"/>
    <mergeCell ref="E17:G17"/>
    <mergeCell ref="E13:G13"/>
    <mergeCell ref="U50:W50"/>
    <mergeCell ref="U51:W51"/>
    <mergeCell ref="E14:G14"/>
    <mergeCell ref="E21:G21"/>
    <mergeCell ref="E22:G22"/>
    <mergeCell ref="E18:G18"/>
  </mergeCells>
  <conditionalFormatting sqref="K29">
    <cfRule type="expression" dxfId="0" priority="2" stopIfTrue="1">
      <formula>$E$18&lt;&gt;"Pilot Remote Sensing Line"</formula>
    </cfRule>
  </conditionalFormatting>
  <dataValidations count="5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7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U51:W51" xr:uid="{CB843612-0C60-4F57-B899-4728775AA006}">
      <formula1>$T$16:$T$19</formula1>
    </dataValidation>
    <dataValidation type="list" allowBlank="1" showInputMessage="1" showErrorMessage="1" sqref="U50:W50" xr:uid="{607D9E3B-93D9-4EA8-93C4-F1216353606D}">
      <formula1>$R$16:$R$20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defaultSize="0" print="0" autoFill="0" autoPict="0" macro="[0]!Sheet19.Run_PressureDrop">
                <anchor moveWithCells="1" sizeWithCells="1"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10</xdr:col>
                    <xdr:colOff>123825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40625" defaultRowHeight="15.75" x14ac:dyDescent="0.2"/>
  <cols>
    <col min="1" max="1" width="16.85546875" style="107" customWidth="1"/>
    <col min="2" max="2" width="14.28515625" style="107" customWidth="1"/>
    <col min="3" max="16384" width="10.140625" style="107"/>
  </cols>
  <sheetData>
    <row r="1" spans="1:3" x14ac:dyDescent="0.2">
      <c r="A1" s="107" t="s">
        <v>7</v>
      </c>
      <c r="B1" s="107" t="s">
        <v>8</v>
      </c>
    </row>
    <row r="2" spans="1:3" x14ac:dyDescent="0.2">
      <c r="A2" s="107" t="s">
        <v>9</v>
      </c>
    </row>
    <row r="3" spans="1:3" ht="14.25" customHeight="1" x14ac:dyDescent="0.2">
      <c r="A3" s="107" t="s">
        <v>10</v>
      </c>
      <c r="B3" s="108"/>
      <c r="C3" s="107" t="s">
        <v>11</v>
      </c>
    </row>
    <row r="4" spans="1:3" x14ac:dyDescent="0.2">
      <c r="A4" s="107" t="s">
        <v>12</v>
      </c>
    </row>
    <row r="5" spans="1:3" x14ac:dyDescent="0.2">
      <c r="A5" s="107" t="s">
        <v>13</v>
      </c>
    </row>
    <row r="6" spans="1:3" x14ac:dyDescent="0.2">
      <c r="A6" s="107" t="s">
        <v>14</v>
      </c>
    </row>
    <row r="7" spans="1:3" x14ac:dyDescent="0.2">
      <c r="A7" s="107" t="s">
        <v>15</v>
      </c>
      <c r="B7" s="107" t="b">
        <v>0</v>
      </c>
    </row>
    <row r="8" spans="1:3" x14ac:dyDescent="0.2">
      <c r="A8" s="107" t="s">
        <v>16</v>
      </c>
      <c r="B8" s="107" t="b">
        <v>0</v>
      </c>
    </row>
    <row r="9" spans="1:3" x14ac:dyDescent="0.2">
      <c r="A9" s="107" t="s">
        <v>17</v>
      </c>
      <c r="B9" s="107" t="b">
        <v>0</v>
      </c>
    </row>
    <row r="11" spans="1:3" x14ac:dyDescent="0.2">
      <c r="B11" s="108"/>
    </row>
    <row r="13" spans="1:3" x14ac:dyDescent="0.2">
      <c r="A13" s="109" t="s">
        <v>18</v>
      </c>
    </row>
    <row r="14" spans="1:3" x14ac:dyDescent="0.2">
      <c r="A14" s="107" t="s">
        <v>19</v>
      </c>
    </row>
    <row r="15" spans="1:3" x14ac:dyDescent="0.2">
      <c r="A15" s="107" t="s">
        <v>20</v>
      </c>
    </row>
    <row r="16" spans="1:3" x14ac:dyDescent="0.2">
      <c r="A16" s="107" t="s">
        <v>21</v>
      </c>
    </row>
    <row r="17" spans="1:1" x14ac:dyDescent="0.2">
      <c r="A17" s="107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README</vt:lpstr>
      <vt:lpstr>PressureDrop</vt:lpstr>
      <vt:lpstr>xlwings.conf</vt:lpstr>
      <vt:lpstr>BALL_D1</vt:lpstr>
      <vt:lpstr>BALL_NO</vt:lpstr>
      <vt:lpstr>BEND_45_NO</vt:lpstr>
      <vt:lpstr>BEND_45_RD</vt:lpstr>
      <vt:lpstr>BEND_90_NO</vt:lpstr>
      <vt:lpstr>BEND_90_RD</vt:lpstr>
      <vt:lpstr>BUTTERFLY_D1</vt:lpstr>
      <vt:lpstr>BUTTERFLY_NO</vt:lpstr>
      <vt:lpstr>CHECK_D1</vt:lpstr>
      <vt:lpstr>CHECK_NO</vt:lpstr>
      <vt:lpstr>ENTRANCE_NO</vt:lpstr>
      <vt:lpstr>EXIT_NO</vt:lpstr>
      <vt:lpstr>FRICTION_FACTOR</vt:lpstr>
      <vt:lpstr>GATE_D1</vt:lpstr>
      <vt:lpstr>GATE_NO</vt:lpstr>
      <vt:lpstr>GLOBE_D1</vt:lpstr>
      <vt:lpstr>GLOBE_NO</vt:lpstr>
      <vt:lpstr>ID</vt:lpstr>
      <vt:lpstr>PRESSURE_DROP</vt:lpstr>
      <vt:lpstr>PressureDrop!Print_Area</vt:lpstr>
      <vt:lpstr>PressureDrop!Print_Titles</vt:lpstr>
      <vt:lpstr>REYNOLDS_NO</vt:lpstr>
      <vt:lpstr>RHO</vt:lpstr>
      <vt:lpstr>ROUGNESS</vt:lpstr>
      <vt:lpstr>STRAIGHT_LENGTH</vt:lpstr>
      <vt:lpstr>TEE_SIDE_NO</vt:lpstr>
      <vt:lpstr>TEE_STRAIGHT_NO</vt:lpstr>
      <vt:lpstr>VELOCITY</vt:lpstr>
      <vt:lpstr>VISC_CP</vt:lpstr>
      <vt:lpstr>VOL_FLOW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2025-04-25T12:31:47Z</cp:lastPrinted>
  <dcterms:created xsi:type="dcterms:W3CDTF">2025-02-02T20:38:25Z</dcterms:created>
  <dcterms:modified xsi:type="dcterms:W3CDTF">2025-04-30T08:30:18Z</dcterms:modified>
</cp:coreProperties>
</file>